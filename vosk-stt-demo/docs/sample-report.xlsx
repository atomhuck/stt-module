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24000" windowHeight="12000"/>
  </bookViews>
  <sheets>
    <sheet name="Сводка" sheetId="1" r:id="rId1"/>
    <sheet name="Вопросы" sheetId="2" r:id="rId2"/>
    <sheet name="Диалог" sheetId="3" r:id="rId3"/>
    <sheet name="Понятия" sheetId="4" r:id="rId4"/>
    <sheet name="Эталоны" sheetId="5" r:id="rId5"/>
    <sheet name="Методика" sheetId="6" r:id="rId6"/>
  </sheets>
  <definedNames>
    <definedName name="_xlnm.Print_Titles" localSheetId="1">'Вопросы'!$1:$1</definedName>
    <definedName name="_xlnm._FilterDatabase" localSheetId="1" hidden="1">'Вопросы'!$A$1:$P$51</definedName>
    <definedName name="_xlnm.Print_Titles" localSheetId="2">'Диалог'!$1:$1</definedName>
    <definedName name="_xlnm.Print_Titles" localSheetId="3">'Понятия'!$1:$1</definedName>
    <definedName name="_xlnm._FilterDatabase" localSheetId="3" hidden="1">'Понятия'!$A$1:$F$763</definedName>
    <definedName name="_xlnm.Print_Titles" localSheetId="4">'Эталоны'!$1:$1</definedName>
    <definedName name="_xlnm._FilterDatabase" localSheetId="4" hidden="1">'Эталоны'!$A$1:$G$51</definedName>
  </definedNames>
  <calcPr calcId="124519" fullCalcOnLoad="1"/>
</workbook>
</file>

<file path=xl/sharedStrings.xml><?xml version="1.0" encoding="utf-8"?>
<sst xmlns="http://schemas.openxmlformats.org/spreadsheetml/2006/main" count="5061" uniqueCount="1155">
  <si>
    <t xml:space="preserve">Отчёт по собеседованию — Java Backend</t>
  </si>
  <si>
    <t xml:space="preserve">Автоматическая оценка ответов по эталонам банка вопросов · файл создан 15.10.2026 04:55</t>
  </si>
  <si>
    <t xml:space="preserve">Кандидат</t>
  </si>
  <si>
    <t xml:space="preserve">Демо-кандидат (пример данных)</t>
  </si>
  <si>
    <t xml:space="preserve">ИТОГОВАЯ ОЦЕНКА (из 10)</t>
  </si>
  <si>
    <t xml:space="preserve">Дата и время начала</t>
  </si>
  <si>
    <t xml:space="preserve">15.10.2026 04:30</t>
  </si>
  <si>
    <t xml:space="preserve">Длительность</t>
  </si>
  <si>
    <t xml:space="preserve">25 мин 0 с</t>
  </si>
  <si>
    <t xml:space="preserve">Уровни вопросов</t>
  </si>
  <si>
    <t xml:space="preserve">Стажёр, Junior, Middle, Senior</t>
  </si>
  <si>
    <t xml:space="preserve">Вопросов</t>
  </si>
  <si>
    <t xml:space="preserve">отвечено 50 из 50</t>
  </si>
  <si>
    <t xml:space="preserve">Завершение</t>
  </si>
  <si>
    <t xml:space="preserve">Полностью — пройден весь список</t>
  </si>
  <si>
    <t xml:space="preserve">Слов сленга (различных)</t>
  </si>
  <si>
    <t xml:space="preserve">релиз</t>
  </si>
  <si>
    <t xml:space="preserve">Оценки по критериям (шкала 0–10)</t>
  </si>
  <si>
    <t xml:space="preserve">Критерий</t>
  </si>
  <si>
    <t xml:space="preserve">Балл</t>
  </si>
  <si>
    <t xml:space="preserve">Шкала</t>
  </si>
  <si>
    <t xml:space="preserve">Развёрнутость и полнота ответа</t>
  </si>
  <si>
    <t xml:space="preserve">Техническая грамотность</t>
  </si>
  <si>
    <t xml:space="preserve">Владение IT-терминами и сленгом</t>
  </si>
  <si>
    <t xml:space="preserve">Скорость ответа</t>
  </si>
  <si>
    <t xml:space="preserve">Итог (среднее по 4 критериям)</t>
  </si>
  <si>
    <t xml:space="preserve">из 10 · среднее четырёх критериев</t>
  </si>
  <si>
    <t xml:space="preserve">Резюме</t>
  </si>
  <si>
    <t xml:space="preserve">• Итоговая оценка 7.09 из 10 — «Хорошо». Отвечено 50 из 50 вопросов.
• Сильнее всего: Git (9.65), Безопасность (9.40). Слабее всего: Observability (0.66), ООП (0.73).
• Лучший критерий — техническая грамотность (7.25), самый низкий — IT-термины и сленг (6.86).
• Скорость: до начала речи кандидат в среднем думал 6.1 с; темп речи — около 138 слов/мин.
• Терминология: использовано 130 различных IT-терминов и 1 слово сленга.
• Чаще всего не прозвучало: lock, брокер сообщений, timeout.
• Оценка автоматическая и лексическая: она не проверяет правильность сказанного. Решающее слово — за интервьюером.</t>
  </si>
  <si>
    <t xml:space="preserve">Результаты по уровням вопросов</t>
  </si>
  <si>
    <t xml:space="preserve">Чаще всего не прозвучало</t>
  </si>
  <si>
    <t xml:space="preserve">Уровень</t>
  </si>
  <si>
    <t xml:space="preserve">Покрытие</t>
  </si>
  <si>
    <t xml:space="preserve">Итог</t>
  </si>
  <si>
    <t xml:space="preserve">ключевое понятие — в скольких вопросах</t>
  </si>
  <si>
    <t xml:space="preserve">Стажёр</t>
  </si>
  <si>
    <t xml:space="preserve">lock — 3</t>
  </si>
  <si>
    <t xml:space="preserve">Junior</t>
  </si>
  <si>
    <t xml:space="preserve">брокер сообщений — 3</t>
  </si>
  <si>
    <t xml:space="preserve">Middle</t>
  </si>
  <si>
    <t xml:space="preserve">timeout — 2</t>
  </si>
  <si>
    <t xml:space="preserve">Senior</t>
  </si>
  <si>
    <t xml:space="preserve">trace — 2</t>
  </si>
  <si>
    <t xml:space="preserve">атомарность — 2</t>
  </si>
  <si>
    <t xml:space="preserve">API — 1</t>
  </si>
  <si>
    <t xml:space="preserve">Callable — 1</t>
  </si>
  <si>
    <t xml:space="preserve">CompletableFuture — 1</t>
  </si>
  <si>
    <t xml:space="preserve">Результаты по темам (от слабых к сильным)</t>
  </si>
  <si>
    <t xml:space="preserve">Тема</t>
  </si>
  <si>
    <t xml:space="preserve">Observability</t>
  </si>
  <si>
    <t xml:space="preserve">ООП</t>
  </si>
  <si>
    <t xml:space="preserve">Spring Boot</t>
  </si>
  <si>
    <t xml:space="preserve">Многопоточность</t>
  </si>
  <si>
    <t xml:space="preserve">Базы данных</t>
  </si>
  <si>
    <t xml:space="preserve">Тестирование</t>
  </si>
  <si>
    <t xml:space="preserve">Распределённые системы</t>
  </si>
  <si>
    <t xml:space="preserve">SQL</t>
  </si>
  <si>
    <t xml:space="preserve">Java Core</t>
  </si>
  <si>
    <t xml:space="preserve">JVM</t>
  </si>
  <si>
    <t xml:space="preserve">REST</t>
  </si>
  <si>
    <t xml:space="preserve">Коллекции</t>
  </si>
  <si>
    <t xml:space="preserve">Производительность</t>
  </si>
  <si>
    <t xml:space="preserve">Исключения</t>
  </si>
  <si>
    <t xml:space="preserve">Generics</t>
  </si>
  <si>
    <t xml:space="preserve">Инциденты</t>
  </si>
  <si>
    <t xml:space="preserve">HTTP</t>
  </si>
  <si>
    <t xml:space="preserve">REST/API</t>
  </si>
  <si>
    <t xml:space="preserve">Java Concurrency</t>
  </si>
  <si>
    <t xml:space="preserve">Архитектура</t>
  </si>
  <si>
    <t xml:space="preserve">Hibernate/JPA</t>
  </si>
  <si>
    <t xml:space="preserve">Надёжность БД</t>
  </si>
  <si>
    <t xml:space="preserve">Spring</t>
  </si>
  <si>
    <t xml:space="preserve">Масштабирование</t>
  </si>
  <si>
    <t xml:space="preserve">Безопасность</t>
  </si>
  <si>
    <t xml:space="preserve">Git</t>
  </si>
  <si>
    <t xml:space="preserve">№</t>
  </si>
  <si>
    <t xml:space="preserve">Вопрос</t>
  </si>
  <si>
    <t xml:space="preserve">Ответ кандидата</t>
  </si>
  <si>
    <t xml:space="preserve">Уточнения: вопрос → ответ</t>
  </si>
  <si>
    <t xml:space="preserve">Покрытие эталона</t>
  </si>
  <si>
    <t xml:space="preserve">Прозвучало (★ — ядро)</t>
  </si>
  <si>
    <t xml:space="preserve">Не прозвучало (★ — ядро)</t>
  </si>
  <si>
    <t xml:space="preserve">IT-термины и сленг</t>
  </si>
  <si>
    <t xml:space="preserve">Полнота</t>
  </si>
  <si>
    <t xml:space="preserve">Техника</t>
  </si>
  <si>
    <t xml:space="preserve">Термины</t>
  </si>
  <si>
    <t xml:space="preserve">Скорость</t>
  </si>
  <si>
    <t xml:space="preserve">Итог по вопросу</t>
  </si>
  <si>
    <t xml:space="preserve">Комментарий системы</t>
  </si>
  <si>
    <t xml:space="preserve">Что такое JVM, JRE и JDK?</t>
  </si>
  <si>
    <t xml:space="preserve">ну JVM — виртуальная машина, исполняющая байткод Java. JRE — среда для запуска приложений (JVM и библиотеки выполнения; в современных поставках JDK отдельный JRE обычно не распространяется). JDK включает инструменты разработки, в том числе компилятор javac, и среду выполнения.</t>
  </si>
  <si>
    <t xml:space="preserve">—</t>
  </si>
  <si>
    <t xml:space="preserve">★ javac, ★ байткод, ★ среда, ★ библиотеки, ★ поставках, ★ распространяется, ★ включает, ★ исполняющая, современных, разработки … и ещё 8 (см. лист «Понятия»)</t>
  </si>
  <si>
    <t xml:space="preserve">JVM, байткод, Java, JRE, JDK, javac</t>
  </si>
  <si>
    <t xml:space="preserve">Итог: ответ достаточный — ключевые понятия названы</t>
  </si>
  <si>
    <t xml:space="preserve">Чем отличаются примитивные типы от ссылочных?</t>
  </si>
  <si>
    <t xml:space="preserve">Примитивные переменные хранят значения примитивного типа, например int или boolean. Ссылочные переменные содержат ссылку на объект</t>
  </si>
  <si>
    <t xml:space="preserve">Уточнение 1: Что произойдёт при распаковке null из Integer?
→ либо null. Объекты создаются в куче в рамках модели памяти JVM; детали размещения могут оптимизироваться JVM.</t>
  </si>
  <si>
    <t xml:space="preserve">★ int, ★ JVM, ★ модель памяти, ★ ссылка, ★ heap, ★ хранят, рамках, размещения, переменные, создаются … и ещё 4 (см. лист «Понятия»)</t>
  </si>
  <si>
    <t xml:space="preserve">int, ссылка, heap, модель памяти, JVM</t>
  </si>
  <si>
    <t xml:space="preserve">Итог: ответ достаточный — ключевые понятия названы; уточняющих вопросов: 1; долго начинал отвечать (8.5 с)</t>
  </si>
  <si>
    <t xml:space="preserve">Назовите четыре основных принципа ООП.</t>
  </si>
  <si>
    <t xml:space="preserve">ну не знаю вроде как бы</t>
  </si>
  <si>
    <t xml:space="preserve">★ инкапсуляция, ★ полиморфизм, ★ абстракция, ★ интерфейс, ★ наследование, ★ выделение, ★ существенных, свойств, основе, разных … и ещё 6 (см. лист «Понятия»)</t>
  </si>
  <si>
    <t xml:space="preserve">Итог: кандидат сказал, что не знает — не давили; сказал, что не знает</t>
  </si>
  <si>
    <t xml:space="preserve">Чем отличаются == и equals()?</t>
  </si>
  <si>
    <t xml:space="preserve">Для примитивов == сравнивает значения. Для ссылок == проверяет идентичность ссылок, то</t>
  </si>
  <si>
    <t xml:space="preserve">Уточнение 1: Что будет с equals() у String и почему строки сравнивают именно так?
→ на один объект. equals() сравнивает логическое равенство согласно реализации Object.equals() по умолчанию эквивалентен сравнению ссылок.</t>
  </si>
  <si>
    <t xml:space="preserve">★ Object, ★ int, ★ ссылок, ★ эквивалентен, ★ сравнить, логическое, равенство, умолчанию, сравнении, идентичность</t>
  </si>
  <si>
    <t xml:space="preserve">указывают</t>
  </si>
  <si>
    <t xml:space="preserve">int, equals, Object</t>
  </si>
  <si>
    <t xml:space="preserve">Итог: ответ достаточный — ключевые понятия названы; уточняющих вопросов: 1</t>
  </si>
  <si>
    <t xml:space="preserve">Чем отличаются List, Set и Map?</t>
  </si>
  <si>
    <t xml:space="preserve">ну List хранит упорядоченную последовательность и допускает дубликаты; Set моделирует множество уникальных элементов; Map хранит пары ключ-значение с уникальными ключами. Map не является подтипом Collection.</t>
  </si>
  <si>
    <t xml:space="preserve">★ коллекции, ★ упорядоченную, ★ дубликаты, ★ элементов, подтипом, последовательность, допускает, моделирует, хранит, уникальных</t>
  </si>
  <si>
    <t xml:space="preserve">List, Set, Map, коллекции</t>
  </si>
  <si>
    <t xml:space="preserve">Чем checked-исключения отличаются от unchecked?</t>
  </si>
  <si>
    <t xml:space="preserve">ну Checked-исключения должны быть обработаны или объявлены в throws на этапе компиляции. RuntimeException и её подклассы — unchecked; компилятор не требует их явно обрабатывать. Выбор зависит от контракта API и возможности вызывающего кода восстановиться.</t>
  </si>
  <si>
    <t xml:space="preserve">★ throws, ★ API, ★ объявлены, ★ подклассы, ★ требует, вызывающего, компилятор, обрабатывать, этапе, восстановиться</t>
  </si>
  <si>
    <t xml:space="preserve">runtimeexception</t>
  </si>
  <si>
    <t xml:space="preserve">checked, исключение, throws, unchecked, API</t>
  </si>
  <si>
    <t xml:space="preserve">Для чего нужны static, final и finally?</t>
  </si>
  <si>
    <t xml:space="preserve">static относится к члену класса, а не конкретному экземпляру; final запрещает повторное присваивание переменной, переопределение метода или наследование класса</t>
  </si>
  <si>
    <t xml:space="preserve">★ переопределение, ★ наследование, ★ retry, ★ относится, члену, запрещает, присваивание, переменные, экземпляру, конкретному</t>
  </si>
  <si>
    <t xml:space="preserve">★ throws, ★ try-with-resources, предпочтительнее, завершающих</t>
  </si>
  <si>
    <t xml:space="preserve">static, final, retry, переопределение, наследование</t>
  </si>
  <si>
    <t xml:space="preserve">Итог: ответ достаточный — ключевые понятия названы; долго начинал отвечать (10.0 с)</t>
  </si>
  <si>
    <t xml:space="preserve">Что такое первичный и внешний ключ?</t>
  </si>
  <si>
    <t xml:space="preserve">★ первичный ключ, ★ String, ★ однозначно, ★ задает, ★ целостность, ссылочных, таблицы, идентичность, допускает, null … и ещё 2 (см. лист «Понятия»)</t>
  </si>
  <si>
    <t xml:space="preserve">Итог: кандидат сказал, что не знает — не давили; долго начинал отвечать (9.3 с); сказал, что не знает</t>
  </si>
  <si>
    <t xml:space="preserve">Чем отличаются WHERE и HAVING?</t>
  </si>
  <si>
    <t xml:space="preserve">SQL-запрос фильтрует строки до группировки, SQL-запрос фильтрует группы после</t>
  </si>
  <si>
    <t xml:space="preserve">★ String, ★ группировки, группы, фильтрует</t>
  </si>
  <si>
    <t xml:space="preserve">★ агрегатам, помещать, условия</t>
  </si>
  <si>
    <t xml:space="preserve">SQL-запрос, String</t>
  </si>
  <si>
    <t xml:space="preserve">Чем отличаются GET, POST, PUT и DELETE?</t>
  </si>
  <si>
    <t xml:space="preserve">ну HTTP-метод получает представление ресурса и должен быть безопасным; HTTP-метод обычно создаёт подресурс или запускает обработку; HTTP-метод заменяет представление ресурса по URI и идемпотентен по семантике; DELETE удаляет ресурс и идемпотентен по семантике, хотя ответы могут различаться.</t>
  </si>
  <si>
    <t xml:space="preserve">★ идемпотентность, ★ подресурс, ★ uri, ★ представление, ★ семантике, получается, удаляет, различаться, заменяет, ответы … и ещё 2 (см. лист «Понятия»)</t>
  </si>
  <si>
    <t xml:space="preserve">HTTP-метод, идемпотентность, SQL-запрос</t>
  </si>
  <si>
    <t xml:space="preserve">Итог: ответ достаточный — ключевые понятия названы; долго начинал отвечать (9.9 с)</t>
  </si>
  <si>
    <t xml:space="preserve">Что такое unit-тест?</t>
  </si>
  <si>
    <t xml:space="preserve">ну Unit-тест проверяет небольшую единицу поведения изолированно и быстро. Зависимости часто заменяют тестовыми двойниками. Тест должен быть детерминированным, понятным и проверять поведение, а не внутренние детали реализации.</t>
  </si>
  <si>
    <t xml:space="preserve">★ единицу, ★ двойниками, ★ понятным, ★ небольшую, ★ быстро, тестовыми, детерминированным, детали, изолированно, внутренние … и ещё 2 (см. лист «Понятия»)</t>
  </si>
  <si>
    <t xml:space="preserve">unit-тест</t>
  </si>
  <si>
    <t xml:space="preserve">Для чего нужны commit, branch и merge?</t>
  </si>
  <si>
    <t xml:space="preserve">Commit фиксирует набор изменений в истории; branch позволяет вести независимую</t>
  </si>
  <si>
    <t xml:space="preserve">Уточнение 1: Как разрешить конфликт слияния и проверить результат?
→ линию разработки; merge объединяет истории веток и может потребовать разрешения конфликтов.</t>
  </si>
  <si>
    <t xml:space="preserve">★ конфликт слияния, ★ истории, ★ набор, ★ линию, ★ веток, разрешения, разработки, фиксирует, вести, объединение … и ещё 1 (см. лист «Понятия»)</t>
  </si>
  <si>
    <t xml:space="preserve">commit, branch, merge, конфликт слияния</t>
  </si>
  <si>
    <t xml:space="preserve">Каков контракт equals() и hashCode()?</t>
  </si>
  <si>
    <t xml:space="preserve">★ HashSet, ★ HashMap, ★ равны, ★ обязан, ★ значимые, ★ меняются, нарушение, ломает, одинаковым, равенство … и ещё 3 (см. лист «Понятия»)</t>
  </si>
  <si>
    <t xml:space="preserve">Как в общих чертах работает HashMap?</t>
  </si>
  <si>
    <t xml:space="preserve">HashMap вычисляет хеш ключа, по нему выбирает корзину, а при коллизиях различает ключи</t>
  </si>
  <si>
    <t xml:space="preserve">Уточнение 1: Почему ключи HashMap должны иметь стабильные equals() и hashCode()?
→ В современных реализациях Java при определённых условиях длинные цепочки могут преобразовываться в деревья. Порядок обхода не гарантирован.</t>
  </si>
  <si>
    <t xml:space="preserve">★ коллизия, ★ хеширование, ★ длинные, ★ деревья, ★ обхода, современных, корзины, условия, различаться, вычисляет … и ещё 4 (см. лист «Понятия»)</t>
  </si>
  <si>
    <t xml:space="preserve">★ equals, ★ hashCode</t>
  </si>
  <si>
    <t xml:space="preserve">HashMap, хеширование, коллизия, Java</t>
  </si>
  <si>
    <t xml:space="preserve">Зачем нужны generics и что означает type erasure?</t>
  </si>
  <si>
    <t xml:space="preserve">ну Generics обеспечивают проверку типов на этапе компиляции и уменьшают необходимость явных приведений. В Java типовые параметры в основном стираются при компиляции, поэтому нельзя, например, напрямую создать new T() или проверить obj instanceof List&lt;String&gt; обычным способом.</t>
  </si>
  <si>
    <t xml:space="preserve">★ instanceof, ★ List, ★ String, ★ явных, ★ стираются, ★ поэтому, ★ new, ★ obj, компилятор, уменьшают … и ещё 8 (см. лист «Понятия»)</t>
  </si>
  <si>
    <t xml:space="preserve">generics, Java, instanceof, List, String</t>
  </si>
  <si>
    <t xml:space="preserve">Итог: ответ достаточный — ключевые понятия названы; долго начинал отвечать (9.8 с)</t>
  </si>
  <si>
    <t xml:space="preserve">Чем интерфейс отличается от абстрактного класса?</t>
  </si>
  <si>
    <t xml:space="preserve">ну Класс может реализовать несколько интерфейсов, но наследоваться напрямую только от одного класса. Интерфейс описывает контракт и может содержать default/static методы; абстрактный класс может хранить состояние экземпляра, иметь конструктор и разделяемую реализацию.</t>
  </si>
  <si>
    <t xml:space="preserve">★ static, ★ наследование, ★ default, ★ напрямую, ★ описывает, ★ конструктор, содержат, экземпляру, иметь, несколько … и ещё 3 (см. лист «Понятия»)</t>
  </si>
  <si>
    <t xml:space="preserve">интерфейс, наследование, static, абстрактный класс</t>
  </si>
  <si>
    <t xml:space="preserve">Итог: ответ достаточный — ключевые понятия названы; долго начинал отвечать (9.6 с)</t>
  </si>
  <si>
    <t xml:space="preserve">Как правильно работать с ресурсами и исключениями?</t>
  </si>
  <si>
    <t xml:space="preserve">Для AutoCloseable-ресурсов обычно применяют try-with-resources: ресурсы закрываются автоматически, а исключения при закрытии корректно подавляются при наличии</t>
  </si>
  <si>
    <t xml:space="preserve">★ AutoCloseable, ★ try-with-resources, ★ закрываются, ★ автоматически, ★ подавляются, закрытия, корректно, наличии</t>
  </si>
  <si>
    <t xml:space="preserve">★ логи, следует, молча, проглатывать, передавать, основных, уровне</t>
  </si>
  <si>
    <t xml:space="preserve">AutoCloseable, try-with-resources, исключение</t>
  </si>
  <si>
    <t xml:space="preserve">Итог: ответ достаточный — ключевые понятия названы; долго начинал отвечать (8.3 с)</t>
  </si>
  <si>
    <t xml:space="preserve">Чем отличаются Thread, Runnable и ExecutorService?</t>
  </si>
  <si>
    <t xml:space="preserve">★ CompletableFuture, ★ Callable, ★ отделяет, ★ отправку, ★ переиспользовать, задачу, управления, исполняющая, представление, описывает … и ещё 2 (см. лист «Понятия»)</t>
  </si>
  <si>
    <t xml:space="preserve">Что такое сборка мусора и утечка памяти в Java?</t>
  </si>
  <si>
    <t xml:space="preserve">GC освобождает память объектов, которые больше не достижимы из GC roots. Утечка в</t>
  </si>
  <si>
    <t xml:space="preserve">Уточнение 1: Какие инструменты применить при росте heap?
→ что ненужные объекты остаются достижимыми, например из статической коллекции, кэша без ограничений или слушателя, которого забыли удалить.</t>
  </si>
  <si>
    <t xml:space="preserve">★ кэш, ★ heap analysis, ★ static, ★ коллекции, ★ достижимы, ★ освобождает, ненужные, слушателя, забыли, удалить … и ещё 3 (см. лист «Понятия»)</t>
  </si>
  <si>
    <t xml:space="preserve">сборщик мусора, heap analysis, static, коллекции, кэш</t>
  </si>
  <si>
    <t xml:space="preserve">Что такое индекс и каковы его компромиссы?</t>
  </si>
  <si>
    <t xml:space="preserve">ну Индекс ускоряет поиск, сортировку или соединение по подходящим столбцам, но занимает место и увеличивает стоимость SQL-запрос/UPDATE/DELETE. Эффективность зависит от селективности, порядка столбцов и плана запроса.</t>
  </si>
  <si>
    <t xml:space="preserve">★ EXPLAIN, ★ SQL-запрос, ★ поиск, ★ занимает, ★ столбцам, ★ ускоряет, место, увеличивает, соединений, порядке … и ещё 3 (см. лист «Понятия»)</t>
  </si>
  <si>
    <t xml:space="preserve">индекс, SQL-запрос, EXPLAIN</t>
  </si>
  <si>
    <t xml:space="preserve">Что такое транзакция и ACID?</t>
  </si>
  <si>
    <t xml:space="preserve">ну Транзакция объединяет операции в единое целое. ACID: атомарность, согласованность, изоляция и долговечность. Конкретные гарантии и уровни изоляции зависят от СУБД и настроек.</t>
  </si>
  <si>
    <t xml:space="preserve">★ изоляция, ★ атомарность, ★ целое, ★ долговечность, зависят, объединение, единый, уровне, конкретному, настроек</t>
  </si>
  <si>
    <t xml:space="preserve">транзакция, ACID, атомарность, изоляция</t>
  </si>
  <si>
    <t xml:space="preserve">Что такое Dependency Injection и зачем нужен Spring IoC Container?</t>
  </si>
  <si>
    <t xml:space="preserve">DI — передача объекту его зависимостей извне, а не создание их внутри него. Spring IoC</t>
  </si>
  <si>
    <t xml:space="preserve">Уточнение 1: Как Spring обнаруживает и создаёт bean-компоненты?
→ Container создаёт и конфигурирует bean-компоненты и связывает зависимости. Конструкторная инъекция делает обязательные зависимости явными и упрощает тестирование.</t>
  </si>
  <si>
    <t xml:space="preserve">★ bean, ★ SQL-инъекция, ★ конфигурация, ★ извне, ★ обязательно, ★ конструктор, передавать, связывает, создание, внутри … и ещё 4 (см. лист «Понятия»)</t>
  </si>
  <si>
    <t xml:space="preserve">DI, Spring, IoC, container-image, конфигурация, bean, SQL-инъекция</t>
  </si>
  <si>
    <t xml:space="preserve">Итог: ответ достаточный — ключевые понятия названы; уточняющих вопросов: 1; долго начинал отвечать (8.2 с)</t>
  </si>
  <si>
    <t xml:space="preserve">Что даёт Spring Boot?</t>
  </si>
  <si>
    <t xml:space="preserve">★ starter, ★ framework, ★ сервак, ★ конфигурация, ★ Spring, ★ встроенных, упрощает, счета, типовые, приложений … и ещё 3 (см. лист «Понятия»)</t>
  </si>
  <si>
    <t xml:space="preserve">Как проектировать REST endpoint и выбирать HTTP-коды?</t>
  </si>
  <si>
    <t xml:space="preserve">Ресурсы обычно именуют существительными, например /orders. HTTP-метод читает, HTTP-метод создаёт или запускает обработку, HTTP-метод/HTTP-метод</t>
  </si>
  <si>
    <t xml:space="preserve">Уточнение 1: Когда использовать 200, 201, 202 и 204?
→ Частые коды: 200, 201, 204, 400, 401, 403, 404, 409, 500; выбор зависит от результата и контракта API.</t>
  </si>
  <si>
    <t xml:space="preserve">★ Location, ★ HTTP-метод, ★ API, ★ именуют, ★ 200, ★ 204, ★ 400, 401, 403, 404 … и ещё 6 (см. лист «Понятия»)</t>
  </si>
  <si>
    <t xml:space="preserve">★ SQL-запрос, удаляет</t>
  </si>
  <si>
    <t xml:space="preserve">HTTP-метод, Location, API</t>
  </si>
  <si>
    <t xml:space="preserve">Итог: ответ достаточный — ключевые понятия названы; уточняющих вопросов: 1; долго начинал отвечать (9.2 с)</t>
  </si>
  <si>
    <t xml:space="preserve">Когда использовать Mockito и Spring Boot Test?</t>
  </si>
  <si>
    <t xml:space="preserve">ну Mockito изолирует unit-тестируемый класс, подменяя зависимости и проверяя взаимодействия там, где это важно. Spring Boot Test поднимает Spring-контекст для интеграционных проверок конфигурации и связей компонентов; такие тесты дороже и должны дополнять быстрые unit-тесты.</t>
  </si>
  <si>
    <t xml:space="preserve">★ unit-тест, ★ deadlock, ★ конфигурация, ★ Spring, ★ подменяя, ★ поднимает, дороже, быстро, интеграционного, контекст … и ещё 5 (см. лист «Понятия»)</t>
  </si>
  <si>
    <t xml:space="preserve">mock, unit-тест, deadlock, Spring Boot, Spring, конфигурация</t>
  </si>
  <si>
    <t xml:space="preserve">Как хранить пароли пользователей?</t>
  </si>
  <si>
    <t xml:space="preserve">ну Пароли нельзя хранить в открытом виде или шифровать обратимым способом. Нужно использовать специализированный медленный password-hashing алгоритм, например Argon2id, bcrypt или Argon2id, с уникальной солью; параметры подбирают по актуальным рекомендациям и возможностям инфраструктуры.</t>
  </si>
  <si>
    <t xml:space="preserve">★ Argon2id, ★ хеширование, ★ шифровать, ★ обратимым, ★ специализированный, ★ password, ★ hashing, подбирают, актуальным, рекомендациям … и ещё 7 (см. лист «Понятия»)</t>
  </si>
  <si>
    <t xml:space="preserve">Argon2id, хеширование</t>
  </si>
  <si>
    <t xml:space="preserve">Как диагностировать высокое потребление памяти или OutOfMemoryError?</t>
  </si>
  <si>
    <t xml:space="preserve">Сначала определить тип OOME и собрать метрики heap, GC, аллокаций и процесса. Снять heap dump и изучить dominator tree/retained size в MAT или</t>
  </si>
  <si>
    <t xml:space="preserve">★ heap analysis, ★ heap, ★ heap dump, ★ сборщик мусора, метрики, CPU, собрать, аллокаций, снять, изучить … и ещё 2 (см. лист «Понятия»)</t>
  </si>
  <si>
    <t xml:space="preserve">★ classloader, ★ кэш, ★ коллекции, ★ HTTP-метод, аналогичном, удержания</t>
  </si>
  <si>
    <t xml:space="preserve">heap analysis, метрики, heap, сборщик мусора, CPU, heap dump</t>
  </si>
  <si>
    <t xml:space="preserve">Итог: ответ достаточный — ключевые понятия названы; долго начинал отвечать (8.8 с)</t>
  </si>
  <si>
    <t xml:space="preserve">Объясните happens-before и volatile.</t>
  </si>
  <si>
    <t xml:space="preserve">★ модель памяти, ★ атомарность, ★ отношение, ★ задающее, ★ переупорядочивания, ★ count, видимость, чтения, последовательность, Java … и ещё 3 (см. лист «Понятия»)</t>
  </si>
  <si>
    <t xml:space="preserve">Итог: кандидат сказал, что не знает — не давили; долго начинал отвечать (8.5 с); сказал, что не знает</t>
  </si>
  <si>
    <t xml:space="preserve">Когда использовать synchronized, Lock и атомарные классы?</t>
  </si>
  <si>
    <t xml:space="preserve">synchronized даёт взаимное исключение и гарантии видимости при входе/выходе из монитора. Lock предлагает дополнительные</t>
  </si>
  <si>
    <t xml:space="preserve">Уточнение 1: Что такое ABA-проблема при CAS?
→ interruptible acquisition. Atomic-классы поддерживают атомарные операции над отдельными значениями, часто на основе CAS. Выбор зависит от инвариантов и измерений.</t>
  </si>
  <si>
    <t xml:space="preserve">★ CAS, ★ инвариантность, ★ исключение, ★ взаимное, ★ предлагает, ★ interruptible, acquisition, выходе, основе, входе … и ещё 5 (см. лист «Понятия»)</t>
  </si>
  <si>
    <t xml:space="preserve">★ tryLock</t>
  </si>
  <si>
    <t xml:space="preserve">synchronized, исключение, lock, атомарность, CAS, инвариантность</t>
  </si>
  <si>
    <t xml:space="preserve">Как работает транзакционность @Transactional и какие есть ловушки?</t>
  </si>
  <si>
    <t xml:space="preserve">ну В типичной конфигурации Spring транзакционность реализуется AOP. Вызов метода внутри того же объекта может обойти AOP и не применить ожидаемую транзакционную семантику. По умолчанию RuntimeException и Error приводят к rollback; checked-исключения обычно нет, если не настроить rollbackFor. Важны propagation, isolation и границы транзакции.</t>
  </si>
  <si>
    <t xml:space="preserve">★ AOP, ★ checked, ★ propagation, ★ конфигурация, ★ изоляция, ★ Spring, ★ rollback, ★ исключение, типичной, вызов … и ещё 7 (см. лист «Понятия»)</t>
  </si>
  <si>
    <t xml:space="preserve">конфигурация, Spring, Transactional, AOP, транзакция, unchecked, rollback, checked, исключение, propagation, изоляция</t>
  </si>
  <si>
    <t xml:space="preserve">Как выбирать propagation и isolation для транзакций?</t>
  </si>
  <si>
    <t xml:space="preserve">ну Propagation определяет поведение при наличии внешней транзакции: REQUIRED присоединяется или создаёт; REQUIRED приостанавливает внешнюю и создаёт новую; NESTED при поддержке использует savepoint. Isolation определяет видимость конкурентных изменений. Выбор должен исходить из бизнес-инвариантов и возможностей СУБД.</t>
  </si>
  <si>
    <t xml:space="preserve">★ REQUIRED, ★ NESTED, ★ savepoint, ★ инвариантность, ★ присоединяется, ★ приостанавливает, исходить, наличии, видимость, создает … и ещё 3 (см. лист «Понятия»)</t>
  </si>
  <si>
    <t xml:space="preserve">propagation, транзакция, REQUIRED, NESTED, savepoint, изоляция, инвариантность</t>
  </si>
  <si>
    <t xml:space="preserve">Итог: ответ достаточный — ключевые понятия названы; долго начинал отвечать (9.0 с)</t>
  </si>
  <si>
    <t xml:space="preserve">Как анализировать медленный SQL-запрос?</t>
  </si>
  <si>
    <t xml:space="preserve">Получить фактический план выполнения (например, EXPLAIN ANALYZE, если безопасно), проверить оценки и фактические строки, типы JOIN, scan, сортировки,</t>
  </si>
  <si>
    <t xml:space="preserve">★ JOIN, ★ EXPLAIN, ★ String, ★ фактический, ★ оценки, scan, analyze, получить, сортировку, типов</t>
  </si>
  <si>
    <t xml:space="preserve">★ индекс, ★ N+1, ★ lock, статистику, объем, репрезентативных, данных, возвращаемого</t>
  </si>
  <si>
    <t xml:space="preserve">EXPLAIN, String, JOIN</t>
  </si>
  <si>
    <t xml:space="preserve">Что такое уровни изоляции и аномалии транзакций?</t>
  </si>
  <si>
    <t xml:space="preserve">★ грязное чтение, ★ lost update, ★ фантомы, ★ инвариантность, ★ lock, ★ задают, разные, точные, понимать, non … и ещё 5 (см. лист «Понятия»)</t>
  </si>
  <si>
    <t xml:space="preserve">Что такое N+1 и как его обнаружить и устранить?</t>
  </si>
  <si>
    <t xml:space="preserve">N+1 возникает, когда загрузка списка сущностей сопровождается отдельным запросом на связанную сущность для каждой</t>
  </si>
  <si>
    <t xml:space="preserve">Уточнение 1: Чем fetch join отличается от EntityGraph и batch fetching?
→ метрикам и профилированию. Исправляют осознанным fetch JOIN, EntityGraph, batch fetching или DTO-проекцией; нельзя бездумно делать все связи EAGER.</t>
  </si>
  <si>
    <t xml:space="preserve">★ entity, ★ eager, ★ fetch join, ★ EntityGraph, ★ batch, ★ DTO, ★ profile, метрики, загрузка, списка … и ещё 5 (см. лист «Понятия»)</t>
  </si>
  <si>
    <t xml:space="preserve">★ SQL, String, логи</t>
  </si>
  <si>
    <t xml:space="preserve">N+1, entity, метрики, profile, fetch join, EntityGraph, batch, DTO, eager</t>
  </si>
  <si>
    <t xml:space="preserve">Итог: ответ достаточный — ключевые понятия названы; уточняющих вопросов: 1; долго начинал отвечать (9.8 с)</t>
  </si>
  <si>
    <t xml:space="preserve">Чем отличаются optimistic и pessimistic locking?</t>
  </si>
  <si>
    <t xml:space="preserve">ну Optimistic locking обычно использует @Version: обновление проверяет версию и конфликт приводит к исключению, после чего приложение может повторить или отклонить операцию. Pessimistic locking берёт блокировку в БД, например SQL-запрос FOR UPDATE, и подходит при высокой вероятности конфликтов, но может снижать параллелизм и создавать deadlock.</t>
  </si>
  <si>
    <t xml:space="preserve">★ конфликт слияния, ★ блокировка строк, ★ deadlock, ★ исключение, ★ lock, ★ реляционная база, ★ retry, ★ version, отклонить, берет … и ещё 8 (см. лист «Понятия»)</t>
  </si>
  <si>
    <t xml:space="preserve">конфликт слияния, исключение, retry, lock, реляционная база, блокировка строк, deadlock</t>
  </si>
  <si>
    <t xml:space="preserve">Как сделать POST-операцию идемпотентной?</t>
  </si>
  <si>
    <t xml:space="preserve">ну Для операций, где повтор запроса опасен, можно принимать idempotency key, сохранять ключ вместе с результатом в транзакционно согласованном хранилище и возвращать прежний результат для повторов. Нужно определить срок хранения, область уникальности и поведение при конкурентных запросах с одним ключом.</t>
  </si>
  <si>
    <t xml:space="preserve">★ идемпотентный ключ, ★ retry, ★ транзакция, ★ опасен, ★ прежний, ★ область, ★ одним, хранилища, хранения, вместо … и ещё 6 (см. лист «Понятия»)</t>
  </si>
  <si>
    <t xml:space="preserve">retry, идемпотентный ключ, транзакция</t>
  </si>
  <si>
    <t xml:space="preserve">Как проектировать обработку ошибок в REST API?</t>
  </si>
  <si>
    <t xml:space="preserve">Нужно единообразно преобразовывать ошибки в стабильный контракт: подходящие HTTP-коды, машинно-читаемый код ошибки, безопасное сообщение и correlation/trace ID. В Spring</t>
  </si>
  <si>
    <t xml:space="preserve">Уточнение 1: Как связать ответ клиенту с логами и distributed trace?
→ это можно реализовать через @ControllerAdvice. Не раскрывать stack trace, SQL и секреты клиенту; логировать с контекстом и без чувствительных данных.</t>
  </si>
  <si>
    <t xml:space="preserve">★ ControllerAdvice, ★ correlation id, ★ SQL, ★ Spring, ★ HTTP, ★ логи, единообразно, машинно, читаемый, раскрывать … и ещё 6 (см. лист «Понятия»)</t>
  </si>
  <si>
    <t xml:space="preserve">★ stack, ★ trace</t>
  </si>
  <si>
    <t xml:space="preserve">HTTP, correlation id, Spring, ControllerAdvice, stacktrace, SQL, логи</t>
  </si>
  <si>
    <t xml:space="preserve">Как тестировать сервис, который зависит от БД и внешнего API?</t>
  </si>
  <si>
    <t xml:space="preserve">★ Testcontainers, ★ unit-тест, ★ интеграционный тест, ★ int, ★ timeout, ★ retry, ★ логики, ★ тестовыми, сетевые, воспроизводимы … и ещё 8 (см. лист «Понятия»)</t>
  </si>
  <si>
    <t xml:space="preserve">Как диагностировать высокую latency Java-сервиса?</t>
  </si>
  <si>
    <t xml:space="preserve">Разложить latency по этапам: входящий запрос, пул потоков, CPU, GC, БД, внешние вызовы и</t>
  </si>
  <si>
    <t xml:space="preserve">Уточнение 1: Как построить нагрузочный тест, который воспроизводит production-профиль?
→ distributed tracing и нагрузочные тесты; смотреть p95/p99, насыщение пулов и таймауты. Оптимизировать узкое место и сравнить результаты до/после.</t>
  </si>
  <si>
    <t xml:space="preserve">★ трейсинг, ★ ExecutorService, ★ сборщик мусора, ★ timeout, ★ CPU, реляционная база, разложить, входящий, смотреть, узкое … и ещё 5 (см. лист «Понятия»)</t>
  </si>
  <si>
    <t xml:space="preserve">★ profile, ★ брокер сообщений, ★ метрики</t>
  </si>
  <si>
    <t xml:space="preserve">latency, ExecutorService, CPU, сборщик мусора, реляционная база, трейсинг, timeout</t>
  </si>
  <si>
    <t xml:space="preserve">Как спроектировать надёжный сервис оформления заказа с оплатой?</t>
  </si>
  <si>
    <t xml:space="preserve">ну Разделить доменные состояния заказа и платежа, задать явные инварианты и переходы состояний. Не держать распределённую транзакцию открытой во время вызова платёжного провайдера. Использовать идемпотентные команды, устойчивую фиксацию намерения, outbox для публикации событий, обработку повторов и сверку с провайдером. Определить компенсации, таймауты, наблюдаемость и процедуры восстановления.</t>
  </si>
  <si>
    <t xml:space="preserve">★ reconciliation, ★ outbox, ★ событие, ★ timeout, ★ инвариантность, ★ идемпотентность, ★ retry, ★ транзакция, провайдера, переходы … и ещё 8 (см. лист «Понятия»)</t>
  </si>
  <si>
    <t xml:space="preserve">инвариантность, транзакция, идемпотентность, outbox, событие, retry, reconciliation, timeout</t>
  </si>
  <si>
    <t xml:space="preserve">Когда выбирать синхронный HTTP, очередь сообщений или event streaming?</t>
  </si>
  <si>
    <t xml:space="preserve">ну HTTP подходит для непосредственного запроса-ответа и простого взаимодействия. Очередь полезна для буферизации, асинхронной работы и сглаживания нагрузки. Event streaming подходит для журнала событий и нескольких независимых потребителей. Выбор учитывает latency, coupling, порядок, повторную доставку, replay, операционную сложность и требования к согласованности.</t>
  </si>
  <si>
    <t xml:space="preserve">★ асинхронность, ★ coupling, ★ at-least-once, ★ inbox, ★ deadlock, ★ latency, ★ retry, ★ непосредственного, буферизации, сглаживания … и ещё 8 (см. лист «Понятия»)</t>
  </si>
  <si>
    <t xml:space="preserve">HTTP, deadlock, брокер сообщений, асинхронность, событие, latency, coupling, retry, at-least-once, inbox</t>
  </si>
  <si>
    <t xml:space="preserve">Как обеспечить надёжную публикацию события после commit в БД?</t>
  </si>
  <si>
    <t xml:space="preserve">Наивная последовательность «commit БД, затем publish» допускает потерю события при падении между шагами. Transactional outbox записывает бизнес-изменение и событие в одной</t>
  </si>
  <si>
    <t xml:space="preserve">Уточнение 1: Как мониторить отставание outbox и безопасно повторно публиковать застрявшие события?
→ локальной транзакции, а отдельный relay публикует его. Потребитель должен быть идемпотентным, поскольку доставка обычно at-least-once; нужны мониторинг отставания и очистка outbox.</t>
  </si>
  <si>
    <t xml:space="preserve">★ outbox, ★ at-least-once, ★ событие, ★ идемпотентность, ★ транзакция, ★ наивная, ★ publish, ★ потерю, падении, локальной … и ещё 8 (см. лист «Понятия»)</t>
  </si>
  <si>
    <t xml:space="preserve">commit, реляционная база, outbox, событие, транзакция, идемпотентность, at-least-once</t>
  </si>
  <si>
    <t xml:space="preserve">Что означает exactly-once processing и почему это сложно?</t>
  </si>
  <si>
    <t xml:space="preserve">★ offset, ★ inbox, ★ атомарность, ★ брокер сообщений, ★ идемпотентность, ★ API, ★ реляционная база, ★ транзакция, пределах, модели … и ещё 8 (см. лист «Понятия»)</t>
  </si>
  <si>
    <t xml:space="preserve">Как масштабировать сервис и защитить его от каскадных отказов?</t>
  </si>
  <si>
    <t xml:space="preserve">Начать с SLA/SLO, профиля нагрузки и измерений. Применять горизонтальное масштабирование, ограниченные пулы и очереди,</t>
  </si>
  <si>
    <t xml:space="preserve">Уточнение 1: Чем circuit breaker отличается от retry, bulkhead и rate limiter?
→ backoff/jitter, circuit breaker, bulkhead и backpressure. Задавать бюджеты ресурсов, лимиты нагрузки и деградационные режимы; тестировать отказ зависимостей и capacity.</t>
  </si>
  <si>
    <t xml:space="preserve">★ bulkhead, ★ jitter, ★ circuit breaker, ★ backpressure, ★ SLA/SLO, ★ profile, брокер сообщений, retry, начать, задавать … и ещё 6 (см. лист «Понятия»)</t>
  </si>
  <si>
    <t xml:space="preserve">★ timeout</t>
  </si>
  <si>
    <t xml:space="preserve">SLA/SLO, profile, масштабирование, брокер сообщений, retry, jitter, circuit breaker, bulkhead, backpressure</t>
  </si>
  <si>
    <t xml:space="preserve">Как защищать REST API в production?</t>
  </si>
  <si>
    <t xml:space="preserve">ну Использовать TLS, надёжную аутентификацию и проверку авторизации на каждом ресурсе, минимальные привилегии, валидацию входа, ограничения размера и частоты запросов, безопасное управление секретами и ротацию. Для токенов проверять подпись, JWT-claims, JWT-claims, срок действия и алгоритм; аудит и логи не должны содержать секреты. Нужны обновления зависимостей и threat modeling.</t>
  </si>
  <si>
    <t xml:space="preserve">★ JWT-claims, ★ аутентификация, ★ токен, ★ TLS, ★ моделирование угроз, ★ авторизация, ★ логи, ★ минимальные, привилегии, частоты … и ещё 8 (см. лист «Понятия»)</t>
  </si>
  <si>
    <t xml:space="preserve">TLS, аутентификация, авторизация, токен, JWT-claims, логи, моделирование угроз</t>
  </si>
  <si>
    <t xml:space="preserve">Как выделять границы микросервисов из монолита?</t>
  </si>
  <si>
    <t xml:space="preserve">ну Начинать с доменных границ, бизнес-возможностей, владения данными и независимых причин изменения, а не с технических слоёв. Выделять постепенно через strangler-подход, определять контракты и миграцию данных, наблюдаемость и rollback. Учитывать сетевые сбои, eventual consistency и дополнительную стоимость эксплуатации.</t>
  </si>
  <si>
    <t xml:space="preserve">★ eventual consistency, ★ strangler, ★ миграции, ★ rollback, ★ начинать, ★ владения, ★ технических, ★ постепенно, эксплуатации, сетевые … и ещё 8 (см. лист «Понятия»)</t>
  </si>
  <si>
    <t xml:space="preserve">strangler, миграции, rollback, eventual consistency</t>
  </si>
  <si>
    <t xml:space="preserve">Как спроектировать миграцию схемы БД без простоя?</t>
  </si>
  <si>
    <t xml:space="preserve">Применять expand-and-contract: сначала совместимое расширение схемы, затем выкладка кода, который поддерживает старую и новую структуру, backfill небольшими порциями,</t>
  </si>
  <si>
    <t xml:space="preserve">Уточнение 1: Как выполнять backfill большими таблицами без блокировок и перегрузки БД?
→ проверка согласованности, переключение чтения/записи и только потом удаление старого поля. Учитывать блокировки DDL, длительность миграций и возможность rollback.</t>
  </si>
  <si>
    <t xml:space="preserve">★ expand-contract, ★ DDL, ★ rollback, ★ lock, ★ старую, ★ expand, ★ contract, ★ расширение, выкладка, порциями … и ещё 8 (см. лист «Понятия»)</t>
  </si>
  <si>
    <t xml:space="preserve">expand-contract, lock, DDL, миграции, rollback</t>
  </si>
  <si>
    <t xml:space="preserve">Итог: ответ достаточный — ключевые понятия названы; уточняющих вопросов: 1; долго начинал отвечать (9.1 с)</t>
  </si>
  <si>
    <t xml:space="preserve">Какие метрики и SLO нужны backend-сервису?</t>
  </si>
  <si>
    <t xml:space="preserve">★ алерт, ★ throughput, ★ correlation id, ★ trace, ★ latency, ★ сборщик мусора, ★ поток, ★ брокер сообщений, логи, реляционная база … и ещё 8 (см. лист «Понятия»)</t>
  </si>
  <si>
    <t xml:space="preserve">Как выбирать между platform threads, virtual threads и реактивным подходом?</t>
  </si>
  <si>
    <t xml:space="preserve">Platform threads подходят для большинства CPU-bound и обычных задач при разумном количестве потоков. Virtual threads (Java 21+) упрощают масштабирование большого числа</t>
  </si>
  <si>
    <t xml:space="preserve">Уточнение 1: Какие ограничения БД, connection pool и внешних API остаются при virtual threads?
→ CPU-bound работу и не отменяют лимиты БД/внешних систем. Reactive-подход полезен при сквозной неблокирующей обработке и backpressure, но повышает сложность. Решение принимают по профилю нагрузки, ограничениям и измерениям.</t>
  </si>
  <si>
    <t xml:space="preserve">★ backpressure, ★ масштабирование, ★ CPU, ★ profile, ★ реляционная база, ★ разумном, ★ отменяют, полезен, сквозной, неблокирующей … и ещё 6 (см. лист «Понятия»)</t>
  </si>
  <si>
    <t xml:space="preserve">★ lock, ускоряет</t>
  </si>
  <si>
    <t xml:space="preserve">поток, CPU, virtual threads, Java, масштабирование, реляционная база, reactive, backpressure, profile</t>
  </si>
  <si>
    <t xml:space="preserve">Как действовать при production-инциденте с ростом 5xx и latency?</t>
  </si>
  <si>
    <t xml:space="preserve">ну Подтвердить влияние по SLA/SLO и определить начало/масштаб. Назначить ответственных, проверить недавние релизы и зависимости, стабилизировать систему безопасным rollback или ограничением нагрузки, сохранить диагностические данные. После восстановления провести blameless postmortem с хронологией, корневыми факторами, конкретными владельцами действий и проверкой их эффективности.</t>
  </si>
  <si>
    <t xml:space="preserve">★ blameless, ★ SLA/SLO, ★ релиз, ★ масштабирование, ★ rollback, ★ начало, ★ назначить, ★ ответственных, недавние, провести … и ещё 8 (см. лист «Понятия»)</t>
  </si>
  <si>
    <t xml:space="preserve">SLA/SLO, масштабирование, rollback, blameless, релиз (сленг)</t>
  </si>
  <si>
    <t xml:space="preserve">Время</t>
  </si>
  <si>
    <t xml:space="preserve">Кто</t>
  </si>
  <si>
    <t xml:space="preserve">Тип</t>
  </si>
  <si>
    <t xml:space="preserve">Текст</t>
  </si>
  <si>
    <t xml:space="preserve">Слов</t>
  </si>
  <si>
    <t xml:space="preserve">До начала речи, с</t>
  </si>
  <si>
    <t xml:space="preserve">Речь, с</t>
  </si>
  <si>
    <t xml:space="preserve">Темп, слов/мин</t>
  </si>
  <si>
    <t xml:space="preserve">Источник текста</t>
  </si>
  <si>
    <t xml:space="preserve">Покрытие после ответа</t>
  </si>
  <si>
    <t xml:space="preserve">Решение системы</t>
  </si>
  <si>
    <t xml:space="preserve">04:30:47</t>
  </si>
  <si>
    <t xml:space="preserve">Интервьюер</t>
  </si>
  <si>
    <t xml:space="preserve">Вопрос 1</t>
  </si>
  <si>
    <t xml:space="preserve"/>
  </si>
  <si>
    <t xml:space="preserve">04:55:47</t>
  </si>
  <si>
    <t xml:space="preserve">Ответ</t>
  </si>
  <si>
    <t xml:space="preserve">Vosk (быстрый)</t>
  </si>
  <si>
    <t xml:space="preserve">→ следующий вопрос: ответ достаточный — ключевые понятия названы</t>
  </si>
  <si>
    <t xml:space="preserve">Вопрос 2</t>
  </si>
  <si>
    <t xml:space="preserve">→ уточняющий вопрос: не хватало деталей — задан уточняющий вопрос</t>
  </si>
  <si>
    <t xml:space="preserve">Уточнение 1</t>
  </si>
  <si>
    <t xml:space="preserve">Что произойдёт при распаковке null из Integer?</t>
  </si>
  <si>
    <t xml:space="preserve">либо null. Объекты создаются в куче в рамках модели памяти JVM; детали размещения могут оптимизироваться JVM.</t>
  </si>
  <si>
    <t xml:space="preserve">Вопрос 3</t>
  </si>
  <si>
    <t xml:space="preserve">→ следующий вопрос: кандидат сказал, что не знает — не давили</t>
  </si>
  <si>
    <t xml:space="preserve">Вопрос 4</t>
  </si>
  <si>
    <t xml:space="preserve">Что будет с equals() у String и почему строки сравнивают именно так?</t>
  </si>
  <si>
    <t xml:space="preserve">на один объект. equals() сравнивает логическое равенство согласно реализации Object.equals() по умолчанию эквивалентен сравнению ссылок.</t>
  </si>
  <si>
    <t xml:space="preserve">Вопрос 5</t>
  </si>
  <si>
    <t xml:space="preserve">Вопрос 6</t>
  </si>
  <si>
    <t xml:space="preserve">Вопрос 7</t>
  </si>
  <si>
    <t xml:space="preserve">Вопрос 8</t>
  </si>
  <si>
    <t xml:space="preserve">Вопрос 9</t>
  </si>
  <si>
    <t xml:space="preserve">Вопрос 10</t>
  </si>
  <si>
    <t xml:space="preserve">Вопрос 11</t>
  </si>
  <si>
    <t xml:space="preserve">Вопрос 12</t>
  </si>
  <si>
    <t xml:space="preserve">Как разрешить конфликт слияния и проверить результат?</t>
  </si>
  <si>
    <t xml:space="preserve">линию разработки; merge объединяет истории веток и может потребовать разрешения конфликтов.</t>
  </si>
  <si>
    <t xml:space="preserve">Вопрос 13</t>
  </si>
  <si>
    <t xml:space="preserve">Вопрос 14</t>
  </si>
  <si>
    <t xml:space="preserve">Почему ключи HashMap должны иметь стабильные equals() и hashCode()?</t>
  </si>
  <si>
    <t xml:space="preserve">В современных реализациях Java при определённых условиях длинные цепочки могут преобразовываться в деревья. Порядок обхода не гарантирован.</t>
  </si>
  <si>
    <t xml:space="preserve">Вопрос 15</t>
  </si>
  <si>
    <t xml:space="preserve">Вопрос 16</t>
  </si>
  <si>
    <t xml:space="preserve">Вопрос 17</t>
  </si>
  <si>
    <t xml:space="preserve">Вопрос 18</t>
  </si>
  <si>
    <t xml:space="preserve">Вопрос 19</t>
  </si>
  <si>
    <t xml:space="preserve">Какие инструменты применить при росте heap?</t>
  </si>
  <si>
    <t xml:space="preserve">что ненужные объекты остаются достижимыми, например из статической коллекции, кэша без ограничений или слушателя, которого забыли удалить.</t>
  </si>
  <si>
    <t xml:space="preserve">Вопрос 20</t>
  </si>
  <si>
    <t xml:space="preserve">Вопрос 21</t>
  </si>
  <si>
    <t xml:space="preserve">Вопрос 22</t>
  </si>
  <si>
    <t xml:space="preserve">Как Spring обнаруживает и создаёт bean-компоненты?</t>
  </si>
  <si>
    <t xml:space="preserve">Container создаёт и конфигурирует bean-компоненты и связывает зависимости. Конструкторная инъекция делает обязательные зависимости явными и упрощает тестирование.</t>
  </si>
  <si>
    <t xml:space="preserve">Вопрос 23</t>
  </si>
  <si>
    <t xml:space="preserve">Вопрос 24</t>
  </si>
  <si>
    <t xml:space="preserve">Когда использовать 200, 201, 202 и 204?</t>
  </si>
  <si>
    <t xml:space="preserve">Частые коды: 200, 201, 204, 400, 401, 403, 404, 409, 500; выбор зависит от результата и контракта API.</t>
  </si>
  <si>
    <t xml:space="preserve">Вопрос 25</t>
  </si>
  <si>
    <t xml:space="preserve">Вопрос 26</t>
  </si>
  <si>
    <t xml:space="preserve">Вопрос 27</t>
  </si>
  <si>
    <t xml:space="preserve">Вопрос 28</t>
  </si>
  <si>
    <t xml:space="preserve">Вопрос 29</t>
  </si>
  <si>
    <t xml:space="preserve">Что такое ABA-проблема при CAS?</t>
  </si>
  <si>
    <t xml:space="preserve">interruptible acquisition. Atomic-классы поддерживают атомарные операции над отдельными значениями, часто на основе CAS. Выбор зависит от инвариантов и измерений.</t>
  </si>
  <si>
    <t xml:space="preserve">Вопрос 30</t>
  </si>
  <si>
    <t xml:space="preserve">Вопрос 31</t>
  </si>
  <si>
    <t xml:space="preserve">Вопрос 32</t>
  </si>
  <si>
    <t xml:space="preserve">Вопрос 33</t>
  </si>
  <si>
    <t xml:space="preserve">Вопрос 34</t>
  </si>
  <si>
    <t xml:space="preserve">Чем fetch join отличается от EntityGraph и batch fetching?</t>
  </si>
  <si>
    <t xml:space="preserve">метрикам и профилированию. Исправляют осознанным fetch JOIN, EntityGraph, batch fetching или DTO-проекцией; нельзя бездумно делать все связи EAGER.</t>
  </si>
  <si>
    <t xml:space="preserve">Вопрос 35</t>
  </si>
  <si>
    <t xml:space="preserve">Вопрос 36</t>
  </si>
  <si>
    <t xml:space="preserve">Вопрос 37</t>
  </si>
  <si>
    <t xml:space="preserve">Как связать ответ клиенту с логами и distributed trace?</t>
  </si>
  <si>
    <t xml:space="preserve">это можно реализовать через @ControllerAdvice. Не раскрывать stack trace, SQL и секреты клиенту; логировать с контекстом и без чувствительных данных.</t>
  </si>
  <si>
    <t xml:space="preserve">Вопрос 38</t>
  </si>
  <si>
    <t xml:space="preserve">Вопрос 39</t>
  </si>
  <si>
    <t xml:space="preserve">Как построить нагрузочный тест, который воспроизводит production-профиль?</t>
  </si>
  <si>
    <t xml:space="preserve">distributed tracing и нагрузочные тесты; смотреть p95/p99, насыщение пулов и таймауты. Оптимизировать узкое место и сравнить результаты до/после.</t>
  </si>
  <si>
    <t xml:space="preserve">Вопрос 40</t>
  </si>
  <si>
    <t xml:space="preserve">Вопрос 41</t>
  </si>
  <si>
    <t xml:space="preserve">Вопрос 42</t>
  </si>
  <si>
    <t xml:space="preserve">Как мониторить отставание outbox и безопасно повторно публиковать застрявшие события?</t>
  </si>
  <si>
    <t xml:space="preserve">локальной транзакции, а отдельный relay публикует его. Потребитель должен быть идемпотентным, поскольку доставка обычно at-least-once; нужны мониторинг отставания и очистка outbox.</t>
  </si>
  <si>
    <t xml:space="preserve">Вопрос 43</t>
  </si>
  <si>
    <t xml:space="preserve">Вопрос 44</t>
  </si>
  <si>
    <t xml:space="preserve">Чем circuit breaker отличается от retry, bulkhead и rate limiter?</t>
  </si>
  <si>
    <t xml:space="preserve">backoff/jitter, circuit breaker, bulkhead и backpressure. Задавать бюджеты ресурсов, лимиты нагрузки и деградационные режимы; тестировать отказ зависимостей и capacity.</t>
  </si>
  <si>
    <t xml:space="preserve">Вопрос 45</t>
  </si>
  <si>
    <t xml:space="preserve">Вопрос 46</t>
  </si>
  <si>
    <t xml:space="preserve">Вопрос 47</t>
  </si>
  <si>
    <t xml:space="preserve">Как выполнять backfill большими таблицами без блокировок и перегрузки БД?</t>
  </si>
  <si>
    <t xml:space="preserve">проверка согласованности, переключение чтения/записи и только потом удаление старого поля. Учитывать блокировки DDL, длительность миграций и возможность rollback.</t>
  </si>
  <si>
    <t xml:space="preserve">Вопрос 48</t>
  </si>
  <si>
    <t xml:space="preserve">Вопрос 49</t>
  </si>
  <si>
    <t xml:space="preserve">Какие ограничения БД, connection pool и внешних API остаются при virtual threads?</t>
  </si>
  <si>
    <t xml:space="preserve">CPU-bound работу и не отменяют лимиты БД/внешних систем. Reactive-подход полезен при сквозной неблокирующей обработке и backpressure, но повышает сложность. Решение принимают по профилю нагрузки, ограничениям и измерениям.</t>
  </si>
  <si>
    <t xml:space="preserve">Вопрос 50</t>
  </si>
  <si>
    <t xml:space="preserve">→ конец списка: ответ достаточный — ключевые понятия названы</t>
  </si>
  <si>
    <t xml:space="preserve">Ключевое понятие</t>
  </si>
  <si>
    <t xml:space="preserve">Вес</t>
  </si>
  <si>
    <t xml:space="preserve">Ядро</t>
  </si>
  <si>
    <t xml:space="preserve">Прозвучало</t>
  </si>
  <si>
    <t xml:space="preserve">javac</t>
  </si>
  <si>
    <t xml:space="preserve">Да</t>
  </si>
  <si>
    <t xml:space="preserve">байткод</t>
  </si>
  <si>
    <t xml:space="preserve">среда</t>
  </si>
  <si>
    <t xml:space="preserve">библиотеки</t>
  </si>
  <si>
    <t xml:space="preserve">поставках</t>
  </si>
  <si>
    <t xml:space="preserve">распространяется</t>
  </si>
  <si>
    <t xml:space="preserve">включает</t>
  </si>
  <si>
    <t xml:space="preserve">исполняющая</t>
  </si>
  <si>
    <t xml:space="preserve">современных</t>
  </si>
  <si>
    <t xml:space="preserve">Нет</t>
  </si>
  <si>
    <t xml:space="preserve">разработки</t>
  </si>
  <si>
    <t xml:space="preserve">инструменты</t>
  </si>
  <si>
    <t xml:space="preserve">числе</t>
  </si>
  <si>
    <t xml:space="preserve">компилятор</t>
  </si>
  <si>
    <t xml:space="preserve">Java</t>
  </si>
  <si>
    <t xml:space="preserve">запуска</t>
  </si>
  <si>
    <t xml:space="preserve">приложений</t>
  </si>
  <si>
    <t xml:space="preserve">выполнения</t>
  </si>
  <si>
    <t xml:space="preserve">отдельный</t>
  </si>
  <si>
    <t xml:space="preserve">int</t>
  </si>
  <si>
    <t xml:space="preserve">модель памяти</t>
  </si>
  <si>
    <t xml:space="preserve">ссылка</t>
  </si>
  <si>
    <t xml:space="preserve">heap</t>
  </si>
  <si>
    <t xml:space="preserve">хранят</t>
  </si>
  <si>
    <t xml:space="preserve">рамках</t>
  </si>
  <si>
    <t xml:space="preserve">размещения</t>
  </si>
  <si>
    <t xml:space="preserve">переменные</t>
  </si>
  <si>
    <t xml:space="preserve">создаются</t>
  </si>
  <si>
    <t xml:space="preserve">оптимизироваться</t>
  </si>
  <si>
    <t xml:space="preserve">содержат</t>
  </si>
  <si>
    <t xml:space="preserve">детали</t>
  </si>
  <si>
    <t xml:space="preserve">null</t>
  </si>
  <si>
    <t xml:space="preserve">инкапсуляция</t>
  </si>
  <si>
    <t xml:space="preserve">полиморфизм</t>
  </si>
  <si>
    <t xml:space="preserve">абстракция</t>
  </si>
  <si>
    <t xml:space="preserve">интерфейс</t>
  </si>
  <si>
    <t xml:space="preserve">наследование</t>
  </si>
  <si>
    <t xml:space="preserve">выделение</t>
  </si>
  <si>
    <t xml:space="preserve">существенных</t>
  </si>
  <si>
    <t xml:space="preserve">свойств</t>
  </si>
  <si>
    <t xml:space="preserve">основе</t>
  </si>
  <si>
    <t xml:space="preserve">разных</t>
  </si>
  <si>
    <t xml:space="preserve">объединение</t>
  </si>
  <si>
    <t xml:space="preserve">контролем</t>
  </si>
  <si>
    <t xml:space="preserve">создание</t>
  </si>
  <si>
    <t xml:space="preserve">единый</t>
  </si>
  <si>
    <t xml:space="preserve">доступа</t>
  </si>
  <si>
    <t xml:space="preserve">поведения</t>
  </si>
  <si>
    <t xml:space="preserve">Object</t>
  </si>
  <si>
    <t xml:space="preserve">ссылок</t>
  </si>
  <si>
    <t xml:space="preserve">эквивалентен</t>
  </si>
  <si>
    <t xml:space="preserve">сравнить</t>
  </si>
  <si>
    <t xml:space="preserve">логическое</t>
  </si>
  <si>
    <t xml:space="preserve">равенство</t>
  </si>
  <si>
    <t xml:space="preserve">умолчанию</t>
  </si>
  <si>
    <t xml:space="preserve">сравнении</t>
  </si>
  <si>
    <t xml:space="preserve">идентичность</t>
  </si>
  <si>
    <t xml:space="preserve">коллекции</t>
  </si>
  <si>
    <t xml:space="preserve">упорядоченную</t>
  </si>
  <si>
    <t xml:space="preserve">дубликаты</t>
  </si>
  <si>
    <t xml:space="preserve">элементов</t>
  </si>
  <si>
    <t xml:space="preserve">подтипом</t>
  </si>
  <si>
    <t xml:space="preserve">последовательность</t>
  </si>
  <si>
    <t xml:space="preserve">допускает</t>
  </si>
  <si>
    <t xml:space="preserve">моделирует</t>
  </si>
  <si>
    <t xml:space="preserve">хранит</t>
  </si>
  <si>
    <t xml:space="preserve">уникальных</t>
  </si>
  <si>
    <t xml:space="preserve">throws</t>
  </si>
  <si>
    <t xml:space="preserve">API</t>
  </si>
  <si>
    <t xml:space="preserve">объявлены</t>
  </si>
  <si>
    <t xml:space="preserve">подклассы</t>
  </si>
  <si>
    <t xml:space="preserve">требует</t>
  </si>
  <si>
    <t xml:space="preserve">вызывающего</t>
  </si>
  <si>
    <t xml:space="preserve">обрабатывать</t>
  </si>
  <si>
    <t xml:space="preserve">этапе</t>
  </si>
  <si>
    <t xml:space="preserve">восстановиться</t>
  </si>
  <si>
    <t xml:space="preserve">try-with-resources</t>
  </si>
  <si>
    <t xml:space="preserve">переопределение</t>
  </si>
  <si>
    <t xml:space="preserve">retry</t>
  </si>
  <si>
    <t xml:space="preserve">относится</t>
  </si>
  <si>
    <t xml:space="preserve">члену</t>
  </si>
  <si>
    <t xml:space="preserve">запрещает</t>
  </si>
  <si>
    <t xml:space="preserve">присваивание</t>
  </si>
  <si>
    <t xml:space="preserve">предпочтительнее</t>
  </si>
  <si>
    <t xml:space="preserve">экземпляру</t>
  </si>
  <si>
    <t xml:space="preserve">завершающих</t>
  </si>
  <si>
    <t xml:space="preserve">конкретному</t>
  </si>
  <si>
    <t xml:space="preserve">первичный ключ</t>
  </si>
  <si>
    <t xml:space="preserve">String</t>
  </si>
  <si>
    <t xml:space="preserve">однозначно</t>
  </si>
  <si>
    <t xml:space="preserve">задает</t>
  </si>
  <si>
    <t xml:space="preserve">целостность</t>
  </si>
  <si>
    <t xml:space="preserve">ссылочных</t>
  </si>
  <si>
    <t xml:space="preserve">таблицы</t>
  </si>
  <si>
    <t xml:space="preserve">связь</t>
  </si>
  <si>
    <t xml:space="preserve">данных</t>
  </si>
  <si>
    <t xml:space="preserve">агрегатам</t>
  </si>
  <si>
    <t xml:space="preserve">группировки</t>
  </si>
  <si>
    <t xml:space="preserve">группы</t>
  </si>
  <si>
    <t xml:space="preserve">помещать</t>
  </si>
  <si>
    <t xml:space="preserve">фильтрует</t>
  </si>
  <si>
    <t xml:space="preserve">условия</t>
  </si>
  <si>
    <t xml:space="preserve">идемпотентность</t>
  </si>
  <si>
    <t xml:space="preserve">подресурс</t>
  </si>
  <si>
    <t xml:space="preserve">uri</t>
  </si>
  <si>
    <t xml:space="preserve">представление</t>
  </si>
  <si>
    <t xml:space="preserve">семантике</t>
  </si>
  <si>
    <t xml:space="preserve">получается</t>
  </si>
  <si>
    <t xml:space="preserve">удаляет</t>
  </si>
  <si>
    <t xml:space="preserve">различаться</t>
  </si>
  <si>
    <t xml:space="preserve">заменяет</t>
  </si>
  <si>
    <t xml:space="preserve">ответы</t>
  </si>
  <si>
    <t xml:space="preserve">создает</t>
  </si>
  <si>
    <t xml:space="preserve">единицу</t>
  </si>
  <si>
    <t xml:space="preserve">двойниками</t>
  </si>
  <si>
    <t xml:space="preserve">понятным</t>
  </si>
  <si>
    <t xml:space="preserve">небольшую</t>
  </si>
  <si>
    <t xml:space="preserve">быстро</t>
  </si>
  <si>
    <t xml:space="preserve">тестовыми</t>
  </si>
  <si>
    <t xml:space="preserve">детерминированным</t>
  </si>
  <si>
    <t xml:space="preserve">изолированно</t>
  </si>
  <si>
    <t xml:space="preserve">внутренние</t>
  </si>
  <si>
    <t xml:space="preserve">конфликт слияния</t>
  </si>
  <si>
    <t xml:space="preserve">истории</t>
  </si>
  <si>
    <t xml:space="preserve">набор</t>
  </si>
  <si>
    <t xml:space="preserve">линию</t>
  </si>
  <si>
    <t xml:space="preserve">веток</t>
  </si>
  <si>
    <t xml:space="preserve">разрешения</t>
  </si>
  <si>
    <t xml:space="preserve">фиксирует</t>
  </si>
  <si>
    <t xml:space="preserve">вести</t>
  </si>
  <si>
    <t xml:space="preserve">независимую</t>
  </si>
  <si>
    <t xml:space="preserve">HashSet</t>
  </si>
  <si>
    <t xml:space="preserve">HashMap</t>
  </si>
  <si>
    <t xml:space="preserve">равны</t>
  </si>
  <si>
    <t xml:space="preserve">обязан</t>
  </si>
  <si>
    <t xml:space="preserve">значимые</t>
  </si>
  <si>
    <t xml:space="preserve">меняются</t>
  </si>
  <si>
    <t xml:space="preserve">нарушение</t>
  </si>
  <si>
    <t xml:space="preserve">ломает</t>
  </si>
  <si>
    <t xml:space="preserve">одинаковым</t>
  </si>
  <si>
    <t xml:space="preserve">ожидаемое</t>
  </si>
  <si>
    <t xml:space="preserve">коллизия</t>
  </si>
  <si>
    <t xml:space="preserve">хеширование</t>
  </si>
  <si>
    <t xml:space="preserve">equals</t>
  </si>
  <si>
    <t xml:space="preserve">hashCode</t>
  </si>
  <si>
    <t xml:space="preserve">длинные</t>
  </si>
  <si>
    <t xml:space="preserve">деревья</t>
  </si>
  <si>
    <t xml:space="preserve">обхода</t>
  </si>
  <si>
    <t xml:space="preserve">корзины</t>
  </si>
  <si>
    <t xml:space="preserve">вычисляет</t>
  </si>
  <si>
    <t xml:space="preserve">преобразовываться</t>
  </si>
  <si>
    <t xml:space="preserve">цепочки</t>
  </si>
  <si>
    <t xml:space="preserve">порядок</t>
  </si>
  <si>
    <t xml:space="preserve">instanceof</t>
  </si>
  <si>
    <t xml:space="preserve">List</t>
  </si>
  <si>
    <t xml:space="preserve">явных</t>
  </si>
  <si>
    <t xml:space="preserve">стираются</t>
  </si>
  <si>
    <t xml:space="preserve">поэтому</t>
  </si>
  <si>
    <t xml:space="preserve">new</t>
  </si>
  <si>
    <t xml:space="preserve">obj</t>
  </si>
  <si>
    <t xml:space="preserve">уменьшают</t>
  </si>
  <si>
    <t xml:space="preserve">типовые</t>
  </si>
  <si>
    <t xml:space="preserve">параметры</t>
  </si>
  <si>
    <t xml:space="preserve">напрямую</t>
  </si>
  <si>
    <t xml:space="preserve">создать</t>
  </si>
  <si>
    <t xml:space="preserve">обычным</t>
  </si>
  <si>
    <t xml:space="preserve">способом</t>
  </si>
  <si>
    <t xml:space="preserve">основных</t>
  </si>
  <si>
    <t xml:space="preserve">приведите</t>
  </si>
  <si>
    <t xml:space="preserve">static</t>
  </si>
  <si>
    <t xml:space="preserve">default</t>
  </si>
  <si>
    <t xml:space="preserve">описывает</t>
  </si>
  <si>
    <t xml:space="preserve">конструктор</t>
  </si>
  <si>
    <t xml:space="preserve">иметь</t>
  </si>
  <si>
    <t xml:space="preserve">несколько</t>
  </si>
  <si>
    <t xml:space="preserve">одного</t>
  </si>
  <si>
    <t xml:space="preserve">разделяемую</t>
  </si>
  <si>
    <t xml:space="preserve">AutoCloseable</t>
  </si>
  <si>
    <t xml:space="preserve">логи</t>
  </si>
  <si>
    <t xml:space="preserve">закрываются</t>
  </si>
  <si>
    <t xml:space="preserve">автоматически</t>
  </si>
  <si>
    <t xml:space="preserve">подавляются</t>
  </si>
  <si>
    <t xml:space="preserve">следует</t>
  </si>
  <si>
    <t xml:space="preserve">молча</t>
  </si>
  <si>
    <t xml:space="preserve">проглатывать</t>
  </si>
  <si>
    <t xml:space="preserve">закрытия</t>
  </si>
  <si>
    <t xml:space="preserve">корректно</t>
  </si>
  <si>
    <t xml:space="preserve">наличии</t>
  </si>
  <si>
    <t xml:space="preserve">передавать</t>
  </si>
  <si>
    <t xml:space="preserve">уровне</t>
  </si>
  <si>
    <t xml:space="preserve">CompletableFuture</t>
  </si>
  <si>
    <t xml:space="preserve">Callable</t>
  </si>
  <si>
    <t xml:space="preserve">отделяет</t>
  </si>
  <si>
    <t xml:space="preserve">отправку</t>
  </si>
  <si>
    <t xml:space="preserve">переиспользовать</t>
  </si>
  <si>
    <t xml:space="preserve">задачу</t>
  </si>
  <si>
    <t xml:space="preserve">управления</t>
  </si>
  <si>
    <t xml:space="preserve">возвращаемого</t>
  </si>
  <si>
    <t xml:space="preserve">кэш</t>
  </si>
  <si>
    <t xml:space="preserve">heap analysis</t>
  </si>
  <si>
    <t xml:space="preserve">достижимы</t>
  </si>
  <si>
    <t xml:space="preserve">освобождает</t>
  </si>
  <si>
    <t xml:space="preserve">ненужные</t>
  </si>
  <si>
    <t xml:space="preserve">слушателя</t>
  </si>
  <si>
    <t xml:space="preserve">забыли</t>
  </si>
  <si>
    <t xml:space="preserve">удалить</t>
  </si>
  <si>
    <t xml:space="preserve">память</t>
  </si>
  <si>
    <t xml:space="preserve">утечка</t>
  </si>
  <si>
    <t xml:space="preserve">остаются</t>
  </si>
  <si>
    <t xml:space="preserve">EXPLAIN</t>
  </si>
  <si>
    <t xml:space="preserve">SQL-запрос</t>
  </si>
  <si>
    <t xml:space="preserve">поиск</t>
  </si>
  <si>
    <t xml:space="preserve">занимает</t>
  </si>
  <si>
    <t xml:space="preserve">столбцам</t>
  </si>
  <si>
    <t xml:space="preserve">ускоряет</t>
  </si>
  <si>
    <t xml:space="preserve">место</t>
  </si>
  <si>
    <t xml:space="preserve">увеличивает</t>
  </si>
  <si>
    <t xml:space="preserve">соединений</t>
  </si>
  <si>
    <t xml:space="preserve">порядке</t>
  </si>
  <si>
    <t xml:space="preserve">сортировку</t>
  </si>
  <si>
    <t xml:space="preserve">стоимость</t>
  </si>
  <si>
    <t xml:space="preserve">эффективность</t>
  </si>
  <si>
    <t xml:space="preserve">изоляция</t>
  </si>
  <si>
    <t xml:space="preserve">атомарность</t>
  </si>
  <si>
    <t xml:space="preserve">целое</t>
  </si>
  <si>
    <t xml:space="preserve">долговечность</t>
  </si>
  <si>
    <t xml:space="preserve">зависят</t>
  </si>
  <si>
    <t xml:space="preserve">настроек</t>
  </si>
  <si>
    <t xml:space="preserve">bean</t>
  </si>
  <si>
    <t xml:space="preserve">SQL-инъекция</t>
  </si>
  <si>
    <t xml:space="preserve">конфигурация</t>
  </si>
  <si>
    <t xml:space="preserve">извне</t>
  </si>
  <si>
    <t xml:space="preserve">обязательно</t>
  </si>
  <si>
    <t xml:space="preserve">связывает</t>
  </si>
  <si>
    <t xml:space="preserve">внутри</t>
  </si>
  <si>
    <t xml:space="preserve">компоненты</t>
  </si>
  <si>
    <t xml:space="preserve">упрощает</t>
  </si>
  <si>
    <t xml:space="preserve">делает</t>
  </si>
  <si>
    <t xml:space="preserve">starter</t>
  </si>
  <si>
    <t xml:space="preserve">framework</t>
  </si>
  <si>
    <t xml:space="preserve">сервак</t>
  </si>
  <si>
    <t xml:space="preserve">встроенных</t>
  </si>
  <si>
    <t xml:space="preserve">счета</t>
  </si>
  <si>
    <t xml:space="preserve">Location</t>
  </si>
  <si>
    <t xml:space="preserve">HTTP-метод</t>
  </si>
  <si>
    <t xml:space="preserve">именуют</t>
  </si>
  <si>
    <t xml:space="preserve">200</t>
  </si>
  <si>
    <t xml:space="preserve">204</t>
  </si>
  <si>
    <t xml:space="preserve">400</t>
  </si>
  <si>
    <t xml:space="preserve">401</t>
  </si>
  <si>
    <t xml:space="preserve">403</t>
  </si>
  <si>
    <t xml:space="preserve">404</t>
  </si>
  <si>
    <t xml:space="preserve">409</t>
  </si>
  <si>
    <t xml:space="preserve">500</t>
  </si>
  <si>
    <t xml:space="preserve">читает</t>
  </si>
  <si>
    <t xml:space="preserve">orders</t>
  </si>
  <si>
    <t xml:space="preserve">deadlock</t>
  </si>
  <si>
    <t xml:space="preserve">подменяя</t>
  </si>
  <si>
    <t xml:space="preserve">поднимает</t>
  </si>
  <si>
    <t xml:space="preserve">дороже</t>
  </si>
  <si>
    <t xml:space="preserve">интеграционного</t>
  </si>
  <si>
    <t xml:space="preserve">контекст</t>
  </si>
  <si>
    <t xml:space="preserve">дополнять</t>
  </si>
  <si>
    <t xml:space="preserve">важно</t>
  </si>
  <si>
    <t xml:space="preserve">Argon2id</t>
  </si>
  <si>
    <t xml:space="preserve">шифровать</t>
  </si>
  <si>
    <t xml:space="preserve">обратимым</t>
  </si>
  <si>
    <t xml:space="preserve">специализированный</t>
  </si>
  <si>
    <t xml:space="preserve">password</t>
  </si>
  <si>
    <t xml:space="preserve">hashing</t>
  </si>
  <si>
    <t xml:space="preserve">подбирают</t>
  </si>
  <si>
    <t xml:space="preserve">актуальным</t>
  </si>
  <si>
    <t xml:space="preserve">рекомендациям</t>
  </si>
  <si>
    <t xml:space="preserve">инфраструктуры</t>
  </si>
  <si>
    <t xml:space="preserve">открытом</t>
  </si>
  <si>
    <t xml:space="preserve">алгоритм</t>
  </si>
  <si>
    <t xml:space="preserve">медленный</t>
  </si>
  <si>
    <t xml:space="preserve">classloader</t>
  </si>
  <si>
    <t xml:space="preserve">heap dump</t>
  </si>
  <si>
    <t xml:space="preserve">сборщик мусора</t>
  </si>
  <si>
    <t xml:space="preserve">метрики</t>
  </si>
  <si>
    <t xml:space="preserve">CPU</t>
  </si>
  <si>
    <t xml:space="preserve">собрать</t>
  </si>
  <si>
    <t xml:space="preserve">аллокаций</t>
  </si>
  <si>
    <t xml:space="preserve">снять</t>
  </si>
  <si>
    <t xml:space="preserve">изучить</t>
  </si>
  <si>
    <t xml:space="preserve">size</t>
  </si>
  <si>
    <t xml:space="preserve">аналогичном</t>
  </si>
  <si>
    <t xml:space="preserve">удержания</t>
  </si>
  <si>
    <t xml:space="preserve">tree</t>
  </si>
  <si>
    <t xml:space="preserve">отношение</t>
  </si>
  <si>
    <t xml:space="preserve">задающее</t>
  </si>
  <si>
    <t xml:space="preserve">переупорядочивания</t>
  </si>
  <si>
    <t xml:space="preserve">count</t>
  </si>
  <si>
    <t xml:space="preserve">видимость</t>
  </si>
  <si>
    <t xml:space="preserve">чтения</t>
  </si>
  <si>
    <t xml:space="preserve">составной</t>
  </si>
  <si>
    <t xml:space="preserve">CAS</t>
  </si>
  <si>
    <t xml:space="preserve">tryLock</t>
  </si>
  <si>
    <t xml:space="preserve">инвариантность</t>
  </si>
  <si>
    <t xml:space="preserve">исключение</t>
  </si>
  <si>
    <t xml:space="preserve">взаимное</t>
  </si>
  <si>
    <t xml:space="preserve">предлагает</t>
  </si>
  <si>
    <t xml:space="preserve">interruptible</t>
  </si>
  <si>
    <t xml:space="preserve">acquisition</t>
  </si>
  <si>
    <t xml:space="preserve">выходе</t>
  </si>
  <si>
    <t xml:space="preserve">входе</t>
  </si>
  <si>
    <t xml:space="preserve">монитора</t>
  </si>
  <si>
    <t xml:space="preserve">измерений</t>
  </si>
  <si>
    <t xml:space="preserve">AOP</t>
  </si>
  <si>
    <t xml:space="preserve">checked</t>
  </si>
  <si>
    <t xml:space="preserve">propagation</t>
  </si>
  <si>
    <t xml:space="preserve">rollback</t>
  </si>
  <si>
    <t xml:space="preserve">типичной</t>
  </si>
  <si>
    <t xml:space="preserve">вызов</t>
  </si>
  <si>
    <t xml:space="preserve">обойти</t>
  </si>
  <si>
    <t xml:space="preserve">rollbackfor</t>
  </si>
  <si>
    <t xml:space="preserve">error</t>
  </si>
  <si>
    <t xml:space="preserve">приводят</t>
  </si>
  <si>
    <t xml:space="preserve">REQUIRED</t>
  </si>
  <si>
    <t xml:space="preserve">NESTED</t>
  </si>
  <si>
    <t xml:space="preserve">savepoint</t>
  </si>
  <si>
    <t xml:space="preserve">присоединяется</t>
  </si>
  <si>
    <t xml:space="preserve">приостанавливает</t>
  </si>
  <si>
    <t xml:space="preserve">исходить</t>
  </si>
  <si>
    <t xml:space="preserve">новые</t>
  </si>
  <si>
    <t xml:space="preserve">конкуренции</t>
  </si>
  <si>
    <t xml:space="preserve">JOIN</t>
  </si>
  <si>
    <t xml:space="preserve">индекс</t>
  </si>
  <si>
    <t xml:space="preserve">N+1</t>
  </si>
  <si>
    <t xml:space="preserve">lock</t>
  </si>
  <si>
    <t xml:space="preserve">фактический</t>
  </si>
  <si>
    <t xml:space="preserve">оценки</t>
  </si>
  <si>
    <t xml:space="preserve">scan</t>
  </si>
  <si>
    <t xml:space="preserve">статистику</t>
  </si>
  <si>
    <t xml:space="preserve">объем</t>
  </si>
  <si>
    <t xml:space="preserve">репрезентативных</t>
  </si>
  <si>
    <t xml:space="preserve">analyze</t>
  </si>
  <si>
    <t xml:space="preserve">получить</t>
  </si>
  <si>
    <t xml:space="preserve">типов</t>
  </si>
  <si>
    <t xml:space="preserve">грязное чтение</t>
  </si>
  <si>
    <t xml:space="preserve">lost update</t>
  </si>
  <si>
    <t xml:space="preserve">фантомы</t>
  </si>
  <si>
    <t xml:space="preserve">задают</t>
  </si>
  <si>
    <t xml:space="preserve">разные</t>
  </si>
  <si>
    <t xml:space="preserve">точные</t>
  </si>
  <si>
    <t xml:space="preserve">понимать</t>
  </si>
  <si>
    <t xml:space="preserve">non</t>
  </si>
  <si>
    <t xml:space="preserve">read</t>
  </si>
  <si>
    <t xml:space="preserve">optimistic</t>
  </si>
  <si>
    <t xml:space="preserve">locking</t>
  </si>
  <si>
    <t xml:space="preserve">entity</t>
  </si>
  <si>
    <t xml:space="preserve">eager</t>
  </si>
  <si>
    <t xml:space="preserve">fetch join</t>
  </si>
  <si>
    <t xml:space="preserve">EntityGraph</t>
  </si>
  <si>
    <t xml:space="preserve">batch</t>
  </si>
  <si>
    <t xml:space="preserve">DTO</t>
  </si>
  <si>
    <t xml:space="preserve">profile</t>
  </si>
  <si>
    <t xml:space="preserve">загрузка</t>
  </si>
  <si>
    <t xml:space="preserve">списка</t>
  </si>
  <si>
    <t xml:space="preserve">сопровождается</t>
  </si>
  <si>
    <t xml:space="preserve">осознанным</t>
  </si>
  <si>
    <t xml:space="preserve">проекцией</t>
  </si>
  <si>
    <t xml:space="preserve">бездумно</t>
  </si>
  <si>
    <t xml:space="preserve">связанность</t>
  </si>
  <si>
    <t xml:space="preserve">блокировка строк</t>
  </si>
  <si>
    <t xml:space="preserve">реляционная база</t>
  </si>
  <si>
    <t xml:space="preserve">version</t>
  </si>
  <si>
    <t xml:space="preserve">отклонить</t>
  </si>
  <si>
    <t xml:space="preserve">берет</t>
  </si>
  <si>
    <t xml:space="preserve">вероятности</t>
  </si>
  <si>
    <t xml:space="preserve">снижать</t>
  </si>
  <si>
    <t xml:space="preserve">создавать</t>
  </si>
  <si>
    <t xml:space="preserve">параллельных</t>
  </si>
  <si>
    <t xml:space="preserve">версию</t>
  </si>
  <si>
    <t xml:space="preserve">высокого</t>
  </si>
  <si>
    <t xml:space="preserve">идемпотентный ключ</t>
  </si>
  <si>
    <t xml:space="preserve">транзакция</t>
  </si>
  <si>
    <t xml:space="preserve">опасен</t>
  </si>
  <si>
    <t xml:space="preserve">прежний</t>
  </si>
  <si>
    <t xml:space="preserve">область</t>
  </si>
  <si>
    <t xml:space="preserve">одним</t>
  </si>
  <si>
    <t xml:space="preserve">хранилища</t>
  </si>
  <si>
    <t xml:space="preserve">хранения</t>
  </si>
  <si>
    <t xml:space="preserve">вместо</t>
  </si>
  <si>
    <t xml:space="preserve">принимать</t>
  </si>
  <si>
    <t xml:space="preserve">сохранить</t>
  </si>
  <si>
    <t xml:space="preserve">ControllerAdvice</t>
  </si>
  <si>
    <t xml:space="preserve">correlation id</t>
  </si>
  <si>
    <t xml:space="preserve">stack</t>
  </si>
  <si>
    <t xml:space="preserve">trace</t>
  </si>
  <si>
    <t xml:space="preserve">единообразно</t>
  </si>
  <si>
    <t xml:space="preserve">машинно</t>
  </si>
  <si>
    <t xml:space="preserve">читаемый</t>
  </si>
  <si>
    <t xml:space="preserve">раскрывать</t>
  </si>
  <si>
    <t xml:space="preserve">чувствительных</t>
  </si>
  <si>
    <t xml:space="preserve">ошибки</t>
  </si>
  <si>
    <t xml:space="preserve">клиентского</t>
  </si>
  <si>
    <t xml:space="preserve">секреты</t>
  </si>
  <si>
    <t xml:space="preserve">Testcontainers</t>
  </si>
  <si>
    <t xml:space="preserve">интеграционный тест</t>
  </si>
  <si>
    <t xml:space="preserve">timeout</t>
  </si>
  <si>
    <t xml:space="preserve">логики</t>
  </si>
  <si>
    <t xml:space="preserve">сетевые</t>
  </si>
  <si>
    <t xml:space="preserve">воспроизводимы</t>
  </si>
  <si>
    <t xml:space="preserve">реальные</t>
  </si>
  <si>
    <t xml:space="preserve">вызовы</t>
  </si>
  <si>
    <t xml:space="preserve">трейсинг</t>
  </si>
  <si>
    <t xml:space="preserve">ExecutorService</t>
  </si>
  <si>
    <t xml:space="preserve">брокер сообщений</t>
  </si>
  <si>
    <t xml:space="preserve">разложить</t>
  </si>
  <si>
    <t xml:space="preserve">входящий</t>
  </si>
  <si>
    <t xml:space="preserve">смотреть</t>
  </si>
  <si>
    <t xml:space="preserve">узкое</t>
  </si>
  <si>
    <t xml:space="preserve">p95</t>
  </si>
  <si>
    <t xml:space="preserve">насыщение</t>
  </si>
  <si>
    <t xml:space="preserve">reconciliation</t>
  </si>
  <si>
    <t xml:space="preserve">outbox</t>
  </si>
  <si>
    <t xml:space="preserve">событие</t>
  </si>
  <si>
    <t xml:space="preserve">провайдера</t>
  </si>
  <si>
    <t xml:space="preserve">переходы</t>
  </si>
  <si>
    <t xml:space="preserve">держать</t>
  </si>
  <si>
    <t xml:space="preserve">команды</t>
  </si>
  <si>
    <t xml:space="preserve">устойчивую</t>
  </si>
  <si>
    <t xml:space="preserve">фиксацию</t>
  </si>
  <si>
    <t xml:space="preserve">намерения</t>
  </si>
  <si>
    <t xml:space="preserve">процедуры</t>
  </si>
  <si>
    <t xml:space="preserve">платежа</t>
  </si>
  <si>
    <t xml:space="preserve">асинхронность</t>
  </si>
  <si>
    <t xml:space="preserve">coupling</t>
  </si>
  <si>
    <t xml:space="preserve">at-least-once</t>
  </si>
  <si>
    <t xml:space="preserve">inbox</t>
  </si>
  <si>
    <t xml:space="preserve">latency</t>
  </si>
  <si>
    <t xml:space="preserve">непосредственного</t>
  </si>
  <si>
    <t xml:space="preserve">буферизации</t>
  </si>
  <si>
    <t xml:space="preserve">сглаживания</t>
  </si>
  <si>
    <t xml:space="preserve">журнала</t>
  </si>
  <si>
    <t xml:space="preserve">требования</t>
  </si>
  <si>
    <t xml:space="preserve">работы</t>
  </si>
  <si>
    <t xml:space="preserve">сложность</t>
  </si>
  <si>
    <t xml:space="preserve">полезно</t>
  </si>
  <si>
    <t xml:space="preserve">наивная</t>
  </si>
  <si>
    <t xml:space="preserve">publish</t>
  </si>
  <si>
    <t xml:space="preserve">потерю</t>
  </si>
  <si>
    <t xml:space="preserve">падении</t>
  </si>
  <si>
    <t xml:space="preserve">локальной</t>
  </si>
  <si>
    <t xml:space="preserve">relay</t>
  </si>
  <si>
    <t xml:space="preserve">поскольку</t>
  </si>
  <si>
    <t xml:space="preserve">отставания</t>
  </si>
  <si>
    <t xml:space="preserve">очистка</t>
  </si>
  <si>
    <t xml:space="preserve">записывает</t>
  </si>
  <si>
    <t xml:space="preserve">затем</t>
  </si>
  <si>
    <t xml:space="preserve">шагами</t>
  </si>
  <si>
    <t xml:space="preserve">offset</t>
  </si>
  <si>
    <t xml:space="preserve">пределах</t>
  </si>
  <si>
    <t xml:space="preserve">модели</t>
  </si>
  <si>
    <t xml:space="preserve">требуют</t>
  </si>
  <si>
    <t xml:space="preserve">практически</t>
  </si>
  <si>
    <t xml:space="preserve">строят</t>
  </si>
  <si>
    <t xml:space="preserve">универсальным</t>
  </si>
  <si>
    <t xml:space="preserve">побочные</t>
  </si>
  <si>
    <t xml:space="preserve">bulkhead</t>
  </si>
  <si>
    <t xml:space="preserve">jitter</t>
  </si>
  <si>
    <t xml:space="preserve">circuit breaker</t>
  </si>
  <si>
    <t xml:space="preserve">backpressure</t>
  </si>
  <si>
    <t xml:space="preserve">SLA/SLO</t>
  </si>
  <si>
    <t xml:space="preserve">начать</t>
  </si>
  <si>
    <t xml:space="preserve">задавать</t>
  </si>
  <si>
    <t xml:space="preserve">бюджеты</t>
  </si>
  <si>
    <t xml:space="preserve">деградационные</t>
  </si>
  <si>
    <t xml:space="preserve">capacity</t>
  </si>
  <si>
    <t xml:space="preserve">режим</t>
  </si>
  <si>
    <t xml:space="preserve">лимиты</t>
  </si>
  <si>
    <t xml:space="preserve">JWT-claims</t>
  </si>
  <si>
    <t xml:space="preserve">аутентификация</t>
  </si>
  <si>
    <t xml:space="preserve">токен</t>
  </si>
  <si>
    <t xml:space="preserve">TLS</t>
  </si>
  <si>
    <t xml:space="preserve">моделирование угроз</t>
  </si>
  <si>
    <t xml:space="preserve">авторизация</t>
  </si>
  <si>
    <t xml:space="preserve">минимальные</t>
  </si>
  <si>
    <t xml:space="preserve">привилегии</t>
  </si>
  <si>
    <t xml:space="preserve">частоты</t>
  </si>
  <si>
    <t xml:space="preserve">ротацию</t>
  </si>
  <si>
    <t xml:space="preserve">подпись</t>
  </si>
  <si>
    <t xml:space="preserve">размеры</t>
  </si>
  <si>
    <t xml:space="preserve">аудита</t>
  </si>
  <si>
    <t xml:space="preserve">валидации</t>
  </si>
  <si>
    <t xml:space="preserve">eventual consistency</t>
  </si>
  <si>
    <t xml:space="preserve">strangler</t>
  </si>
  <si>
    <t xml:space="preserve">миграции</t>
  </si>
  <si>
    <t xml:space="preserve">начинать</t>
  </si>
  <si>
    <t xml:space="preserve">владения</t>
  </si>
  <si>
    <t xml:space="preserve">технических</t>
  </si>
  <si>
    <t xml:space="preserve">постепенно</t>
  </si>
  <si>
    <t xml:space="preserve">эксплуатации</t>
  </si>
  <si>
    <t xml:space="preserve">наблюдаемость</t>
  </si>
  <si>
    <t xml:space="preserve">доменное</t>
  </si>
  <si>
    <t xml:space="preserve">причину</t>
  </si>
  <si>
    <t xml:space="preserve">данные</t>
  </si>
  <si>
    <t xml:space="preserve">expand-contract</t>
  </si>
  <si>
    <t xml:space="preserve">DDL</t>
  </si>
  <si>
    <t xml:space="preserve">старую</t>
  </si>
  <si>
    <t xml:space="preserve">expand</t>
  </si>
  <si>
    <t xml:space="preserve">contract</t>
  </si>
  <si>
    <t xml:space="preserve">расширение</t>
  </si>
  <si>
    <t xml:space="preserve">выкладка</t>
  </si>
  <si>
    <t xml:space="preserve">порциями</t>
  </si>
  <si>
    <t xml:space="preserve">переключение</t>
  </si>
  <si>
    <t xml:space="preserve">удаление</t>
  </si>
  <si>
    <t xml:space="preserve">длительность</t>
  </si>
  <si>
    <t xml:space="preserve">сначала</t>
  </si>
  <si>
    <t xml:space="preserve">структуру</t>
  </si>
  <si>
    <t xml:space="preserve">алерт</t>
  </si>
  <si>
    <t xml:space="preserve">throughput</t>
  </si>
  <si>
    <t xml:space="preserve">поток</t>
  </si>
  <si>
    <t xml:space="preserve">включая</t>
  </si>
  <si>
    <t xml:space="preserve">добавить</t>
  </si>
  <si>
    <t xml:space="preserve">строить</t>
  </si>
  <si>
    <t xml:space="preserve">симптомах</t>
  </si>
  <si>
    <t xml:space="preserve">выгорании</t>
  </si>
  <si>
    <t xml:space="preserve">шумном</t>
  </si>
  <si>
    <t xml:space="preserve">показателе</t>
  </si>
  <si>
    <t xml:space="preserve">масштабирование</t>
  </si>
  <si>
    <t xml:space="preserve">разумном</t>
  </si>
  <si>
    <t xml:space="preserve">отменяют</t>
  </si>
  <si>
    <t xml:space="preserve">полезен</t>
  </si>
  <si>
    <t xml:space="preserve">сквозной</t>
  </si>
  <si>
    <t xml:space="preserve">неблокирующей</t>
  </si>
  <si>
    <t xml:space="preserve">повышает</t>
  </si>
  <si>
    <t xml:space="preserve">bound</t>
  </si>
  <si>
    <t xml:space="preserve">внешних</t>
  </si>
  <si>
    <t xml:space="preserve">blameless</t>
  </si>
  <si>
    <t xml:space="preserve">начало</t>
  </si>
  <si>
    <t xml:space="preserve">назначить</t>
  </si>
  <si>
    <t xml:space="preserve">ответственных</t>
  </si>
  <si>
    <t xml:space="preserve">недавние</t>
  </si>
  <si>
    <t xml:space="preserve">провести</t>
  </si>
  <si>
    <t xml:space="preserve">хронологией</t>
  </si>
  <si>
    <t xml:space="preserve">корневыми</t>
  </si>
  <si>
    <t xml:space="preserve">факторами</t>
  </si>
  <si>
    <t xml:space="preserve">влияние</t>
  </si>
  <si>
    <t xml:space="preserve">подтверждение</t>
  </si>
  <si>
    <t xml:space="preserve">владельца</t>
  </si>
  <si>
    <t xml:space="preserve">систему</t>
  </si>
  <si>
    <t xml:space="preserve">Эталонный ответ</t>
  </si>
  <si>
    <t xml:space="preserve">Критерии из банка вопросов</t>
  </si>
  <si>
    <t xml:space="preserve">Уточняющие вопросы (✓ — задавался)</t>
  </si>
  <si>
    <t xml:space="preserve">JVM — виртуальная машина, исполняющая байткод Java. JRE — среда для запуска приложений (JVM и библиотеки выполнения; в современных поставках JDK отдельный JRE обычно не распространяется). JDK включает инструменты разработки, в том числе компилятор javac, и среду выполнения.</t>
  </si>
  <si>
    <t xml:space="preserve">Проверяет базовое понимание платформы Java.</t>
  </si>
  <si>
    <t xml:space="preserve">   1. Назвать роль javac и объяснить, что происходит после компиляции.
   2. Что именно делает компилятор javac и какой файл получается на выходе?
   3. Как JVM исполняет байткод и какую роль играет JIT-компиляция?
   4. Почему наличие JDK не означает, что приложение обязательно запускается именно средствами JDK?
   5. Как проверить версию Java, которой приложение компилируется и запускается?</t>
  </si>
  <si>
    <t xml:space="preserve">Примитивные переменные хранят значения примитивного типа, например int или boolean. Ссылочные переменные содержат ссылку на объект либо null. Объекты создаются в куче в рамках модели памяти JVM; детали размещения могут оптимизироваться JVM.</t>
  </si>
  <si>
    <t xml:space="preserve">Не требовать упрощённого утверждения, что все значения всегда лежат только в стеке или куче.</t>
  </si>
  <si>
    <t xml:space="preserve">   1. Сравнить int и Integer, обсудить boxing/unboxing.
   2. Какие примитивные типы есть в Java и каковы их размеры или диапазоны?
   3. Что такое boxing и unboxing и какие проблемы могут возникнуть при сравнении Integer через ==?
✓ 4. Что произойдёт при распаковке null из Integer?
   5. Что означает null для ссылочной переменной и как избежать NullPointerException?</t>
  </si>
  <si>
    <t xml:space="preserve">Инкапсуляция — объединение состояния и поведения с контролем доступа; абстракция — выделение существенных свойств; наследование — создание типа на основе другого; полиморфизм — единый интерфейс для разных реализаций.</t>
  </si>
  <si>
    <t xml:space="preserve">Ожидаются определения и простой пример хотя бы для двух принципов.</t>
  </si>
  <si>
    <t xml:space="preserve">   1. Попросить привести пример полиморфизма из Java.
   2. Приведите пример инкапсуляции в классе банковского счёта.
   3. Чем композиция отличается от наследования и когда предпочтительнее композиция?
   4. Что такое перегрузка и переопределение методов?
   5. Как полиморфизм помогает добавлять новые реализации без изменения клиентского кода?</t>
  </si>
  <si>
    <t xml:space="preserve">Для примитивов == сравнивает значения. Для ссылок == проверяет идентичность ссылок, то есть указывают ли они на один объект. equals() сравнивает логическое равенство согласно реализации класса; Object.equals() по умолчанию эквивалентен сравнению ссылок.</t>
  </si>
  <si>
    <t xml:space="preserve">Уточнить контракт equals/hashCode и типичные ошибки переопределения.</t>
  </si>
  <si>
    <t xml:space="preserve">✓ 1. Что будет с equals() у String и почему строки сравнивают именно так?
   2. Почему строки обычно сравнивают через equals(), а не через ==?
   3. Какие правила необходимо соблюдать при переопределении equals()?
   4. Почему при переопределении equals() обычно нужно переопределить и hashCode()?
   5. Что такое симметричность и транзитивность в контракте equals()?</t>
  </si>
  <si>
    <t xml:space="preserve">List хранит упорядоченную последовательность и допускает дубликаты; Set моделирует множество уникальных элементов; Map хранит пары ключ-значение с уникальными ключами. Map не является подтипом Collection.</t>
  </si>
  <si>
    <t xml:space="preserve">Кандидат должен подобрать простые сценарии использования.</t>
  </si>
  <si>
    <t xml:space="preserve">   1. Попросить выбрать структуру для корзины покупок и справочника пользователей.
   2. В каких случаях вы выберете ArrayList, LinkedList, HashSet, TreeSet или HashMap?
   3. Гарантирует ли HashMap порядок элементов? Чем отличаются LinkedHashMap и TreeMap?
   4. Как коллекции ведут себя при добавлении дубликатов или null?
   5. Какие риски возникают при изменении объекта, который хранится в HashSet или используется ключом Map?</t>
  </si>
  <si>
    <t xml:space="preserve">Checked-исключения должны быть обработаны или объявлены в throws на этапе компиляции. RuntimeException и её подклассы — unchecked; компилятор не требует их явно обрабатывать. Выбор зависит от контракта API и возможности вызывающего кода восстановиться.</t>
  </si>
  <si>
    <t xml:space="preserve">Не сводить ответ к правилу «checked всегда хорошие, unchecked всегда плохие».</t>
  </si>
  <si>
    <t xml:space="preserve">   1. Когда уместно обернуть исключение в доменное?
   2. Когда checked-исключение полезно, а когда оно создаёт лишнюю связанность?
   3. Почему не стоит перехватывать Exception и ничего не делать?
   4. Чем throw отличается от throws?
   5. Как сохранить исходную причину ошибки при оборачивании исключения?</t>
  </si>
  <si>
    <t xml:space="preserve">static относится к члену класса, а не конкретному экземпляру; final запрещает повторное присваивание переменной, переопределение метода или наследование класса — в зависимости от применения; finally — блок, обычно используемый для завершающих действий после try/catch. Для ресурсов предпочтительнее try-with-resources.</t>
  </si>
  <si>
    <t xml:space="preserve">Различать три похожих по написанию, но разных понятия.</t>
  </si>
  <si>
    <t xml:space="preserve">   1. Чем finally отличается от try-with-resources?
   2. Может ли final-ссылка указывать на объект, состояние которого меняется?
   3. Чем static-поле отличается от поля экземпляра при многопоточном доступе?
   4. В каких ситуациях finally может не выполниться?
   5. Почему для закрытия файлов и соединений обычно предпочитают try-with-resources?</t>
  </si>
  <si>
    <t xml:space="preserve">PRIMARY KEY однозначно идентифицирует строку и не допускает NULL. FOREIGN KEY задаёт ссылочную связь с ключом другой или той же таблицы и помогает поддерживать целостность данных.</t>
  </si>
  <si>
    <t xml:space="preserve">Проверить понимание связей и ограничений целостности.</t>
  </si>
  <si>
    <t xml:space="preserve">   1. Как моделировать связь многие-ко-многим?
   2. Может ли таблица иметь несколько внешних ключей и составной первичный ключ?
   3. Какие действия ON DELETE и ON UPDATE бывают у внешнего ключа?
   4. Чем UNIQUE отличается от PRIMARY KEY?
   5. Как реализовать связь многие-ко-многим и обеспечить уникальность пары?</t>
  </si>
  <si>
    <t xml:space="preserve">WHERE фильтрует строки до группировки, HAVING фильтрует группы после GROUP BY и обычно применяется к агрегатам. Условия без агрегатов часто лучше помещать в WHERE.</t>
  </si>
  <si>
    <t xml:space="preserve">Попросить объяснить порядок обработки запроса концептуально.</t>
  </si>
  <si>
    <t xml:space="preserve">   1. Написать запрос количества заказов по клиентам с более чем тремя заказами.
   2. В каком порядке логически выполняются FROM, WHERE, GROUP BY, HAVING и SELECT?
   3. Можно ли использовать агрегатную функцию в WHERE и почему?
   4. Напишите запрос, который выбирает клиентов более чем с тремя заказами.
   5. Как NULL влияет на фильтрацию и агрегатные функции?</t>
  </si>
  <si>
    <t xml:space="preserve">GET получает представление ресурса и должен быть безопасным; POST обычно создаёт подресурс или запускает обработку; PUT заменяет представление ресурса по URI и идемпотентен по семантике; DELETE удаляет ресурс и идемпотентен по семантике, хотя ответы могут различаться.</t>
  </si>
  <si>
    <t xml:space="preserve">Оценивать понимание семантики, а не только мнемонику CRUD.</t>
  </si>
  <si>
    <t xml:space="preserve">   1. Чем PUT отличается от PATCH?
   2. Что означает идемпотентность и какие из этих методов обычно идемпотентны по семантике?
   3. Какой HTTP-код вернёте при успешном создании ресурса и почему?
   4. Почему GET не должен менять состояние сервера?</t>
  </si>
  <si>
    <t xml:space="preserve">Unit-тест проверяет небольшую единицу поведения изолированно и быстро. Зависимости часто заменяют тестовыми двойниками. Тест должен быть детерминированным, понятным и проверять поведение, а не внутренние детали реализации.</t>
  </si>
  <si>
    <t xml:space="preserve">Различать unit-, интеграционные и end-to-end тесты.</t>
  </si>
  <si>
    <t xml:space="preserve">   1. Какие сценарии покрыть для метода расчёта скидки?
   2. Чем unit-тест отличается от интеграционного и end-to-end теста?
   3. Что такое тестовый двойник, mock и stub?
   4. Как тестировать граничные значения и исключительные сценарии?
   5. Какие признаки указывают на нестабильный (flaky) тест?</t>
  </si>
  <si>
    <t xml:space="preserve">Commit фиксирует набор изменений в истории; branch позволяет вести независимую линию разработки; merge объединяет истории веток и может потребовать разрешения конфликтов.</t>
  </si>
  <si>
    <t xml:space="preserve">Кандидат должен понимать базовый командный workflow.</t>
  </si>
  <si>
    <t xml:space="preserve">   1. Что делать при конфликте слияния?
   2. Чем merge отличается от rebase?
✓ 3. Как разрешить конфликт слияния и проверить результат?
   4. Что делает git cherry-pick и когда его стоит применять?
   5. Как безопасно отменить уже опубликованный commit в общей ветке?</t>
  </si>
  <si>
    <t xml:space="preserve">Если два объекта равны по equals(), их hashCode() обязан быть одинаковым. Одинаковый hashCode не гарантирует равенства. Результаты должны быть согласованными, пока значимые для сравнения поля не меняются. Нарушение контракта ломает ожидаемое поведение HashMap/HashSet.</t>
  </si>
  <si>
    <t xml:space="preserve">Особенно важно для ключей и элементов хеш-коллекций.</t>
  </si>
  <si>
    <t xml:space="preserve">   1. Почему опасно менять поле, участвующее в hashCode(), после добавления объекта в HashSet?
   2. Какие свойства должны соблюдаться для equals(): рефлексивность, симметричность, транзитивность и согласованность?
   3. Почему равные объекты обязаны иметь одинаковый hashCode, но обратное неверно?
   4. Что произойдёт, если поле, используемое в hashCode(), изменить после добавления ключа в HashMap?
   5. Как проектировать equals() для иерархии наследования?</t>
  </si>
  <si>
    <t xml:space="preserve">HashMap вычисляет хеш ключа, по нему выбирает корзину, а при коллизиях различает ключи через hashCode и equals. В современных реализациях Java при определённых условиях длинные цепочки могут преобразовываться в деревья. Порядок обхода не гарантирован.</t>
  </si>
  <si>
    <t xml:space="preserve">Не требовать знания всех внутренних констант; важны коллизии, равенство и отсутствие гарантии порядка.</t>
  </si>
  <si>
    <t xml:space="preserve">   1. Какие требования к ключу HashMap?
   2. Как HashMap обрабатывает коллизии и как использует equals()?
✓ 3. Почему ключи HashMap должны иметь стабильные equals() и hashCode()?
   4. Какая средняя сложность get/put и от чего она зависит?
   5. Чем HashMap отличается от ConcurrentHashMap и когда нужна потокобезопасная карта?</t>
  </si>
  <si>
    <t xml:space="preserve">Generics обеспечивают проверку типов на этапе компиляции и уменьшают необходимость явных приведений. В Java типовые параметры в основном стираются при компиляции, поэтому нельзя, например, напрямую создать new T() или проверить obj instanceof List&lt;String&gt; обычным способом.</t>
  </si>
  <si>
    <t xml:space="preserve">Проверить понимание инвариантности и ограничений generic-типа.</t>
  </si>
  <si>
    <t xml:space="preserve">   1. Объяснить PECS: Producer Extends, Consumer Super.
   2. Что означает инвариантность List&lt;Integer&gt; и List&lt;Number&gt;?
   3. Объясните PECS на примере метода, который читает числа и записывает Integer.
   4. Почему нельзя создать массив new T[] или проверить instanceof List&lt;String&gt;?
   5. Для чего нужны bounded type parameters и wildcard?</t>
  </si>
  <si>
    <t xml:space="preserve">Класс может реализовать несколько интерфейсов, но наследоваться напрямую только от одного класса. Интерфейс описывает контракт и может содержать default/static методы; абстрактный класс может хранить состояние экземпляра, иметь конструктор и разделяемую реализацию.</t>
  </si>
  <si>
    <t xml:space="preserve">Ответ учитывает современные возможности Java, а не только старые правила.</t>
  </si>
  <si>
    <t xml:space="preserve">   1. Когда выбрать интерфейс для слоя сервиса?
   2. Может ли интерфейс содержать реализацию методов и состояние экземпляра?
   3. Что произойдёт при конфликте default-методов двух интерфейсов?
   4. Почему Java не поддерживает множественное наследование классов?
   5. Как тестируемость и смена реализации влияют на выбор интерфейса?</t>
  </si>
  <si>
    <t xml:space="preserve">Для AutoCloseable-ресурсов обычно применяют try-with-resources: ресурсы закрываются автоматически, а исключения при закрытии корректно подавляются при наличии основного исключения. Не следует молча проглатывать исключения; нужно логировать на подходящем уровне или передавать их согласно контракту.</t>
  </si>
  <si>
    <t xml:space="preserve">Проверить, что кандидат не предлагает catch(Exception) без осмысленной обработки.</t>
  </si>
  <si>
    <t xml:space="preserve">   1. Что такое suppressed exception?
   2. Как работает try-with-resources и какие типы ресурсов его поддерживают?
   3. Что такое suppressed exception и как получить подавленные исключения?
   4. Когда нужно логировать исключение, а когда достаточно передать его выше?
   5. Почему повторное логирование одного исключения на каждом слое затрудняет диагностику?</t>
  </si>
  <si>
    <t xml:space="preserve">Thread представляет поток исполнения; Runnable описывает задачу без возвращаемого результата; ExecutorService отделяет отправку задач от управления потоками, позволяет переиспользовать пул и управлять завершением. Для результата можно использовать Callable и Future.</t>
  </si>
  <si>
    <t xml:space="preserve">Ожидается понимание, почему не стоит создавать поток на каждую задачу без ограничений.</t>
  </si>
  <si>
    <t xml:space="preserve">   1. Как корректно завершить ExecutorService?
   2. Чем Callable отличается от Runnable и как получить результат выполнения?
   3. Как ограниченный пул потоков защищает систему от перегрузки?
   4. Что делают shutdown(), shutdownNow() и awaitTermination()?
   5. Как обработать исключение, возникшее внутри задачи, отправленной в ExecutorService?</t>
  </si>
  <si>
    <t xml:space="preserve">GC освобождает память объектов, которые больше не достижимы из GC roots. Утечка в Java обычно означает, что ненужные объекты остаются достижимыми, например из статической коллекции, кэша без ограничений или слушателя, которого забыли удалить.</t>
  </si>
  <si>
    <t xml:space="preserve">Не путать утечку с объектами, которые просто занимают память до следующего GC.</t>
  </si>
  <si>
    <t xml:space="preserve">✓ 1. Какие инструменты применить при росте heap?
   2. Что такое GC roots и какие объекты считаются достижимыми?
   3. Чем утечка памяти отличается от высокого, но стабильного потребления heap?
   4. Какие признаки в GC-логах могут указывать на проблему?
   5. Как heap dump и dominator tree помогают найти удерживающий объект?</t>
  </si>
  <si>
    <t xml:space="preserve">Индекс ускоряет поиск, сортировку или соединение по подходящим столбцам, но занимает место и увеличивает стоимость INSERT/UPDATE/DELETE. Эффективность зависит от селективности, порядка столбцов и плана запроса.</t>
  </si>
  <si>
    <t xml:space="preserve">Не принимать утверждение «индекс ускоряет любой запрос».</t>
  </si>
  <si>
    <t xml:space="preserve">   1. Как проверить, используется ли индекс?
   2. Как селективность столбца влияет на полезность индекса?
   3. Почему порядок столбцов важен для составного индекса?
   4. Как EXPLAIN или EXPLAIN ANALYZE помогает проверить план запроса?
   5. Почему большое количество индексов ухудшает запись и может не ускорить запрос?</t>
  </si>
  <si>
    <t xml:space="preserve">Транзакция объединяет операции в единое целое. ACID: атомарность, согласованность, изоляция и долговечность. Конкретные гарантии и уровни изоляции зависят от СУБД и настроек.</t>
  </si>
  <si>
    <t xml:space="preserve">Кандидат должен привести пример перевода денег или оформления заказа.</t>
  </si>
  <si>
    <t xml:space="preserve">   1. Что произойдёт, если одна операция в транзакции завершится ошибкой?
   2. Приведите пример, где атомарность предотвращает неконсистентное состояние.
   3. Чем атомарность отличается от изоляции и долговечности?
   4. Что произойдёт при deadlock и как приложение должно на него реагировать?
   5. Почему успешный commit не всегда означает, что данные уже доступны всем репликам?</t>
  </si>
  <si>
    <t xml:space="preserve">Dependency Injection — передача объекту его зависимостей извне, а не создание их внутри него. Spring IoC Container создаёт и конфигурирует bean-компоненты и связывает зависимости. Конструкторная инъекция делает обязательные зависимости явными и упрощает тестирование.</t>
  </si>
  <si>
    <t xml:space="preserve">Предпочтительна конструкторная инъекция для обязательных зависимостей.</t>
  </si>
  <si>
    <t xml:space="preserve">   1. Почему field injection часто считают менее удобной?
   2. Чем constructor injection лучше field injection для обязательных зависимостей?
✓ 3. Как Spring обнаруживает и создаёт bean-компоненты?
   4. Что такое циклическая зависимость и как её лучше устранить?
   5. Как тестировать класс с внедряемыми зависимостями без запуска Spring?</t>
  </si>
  <si>
    <t xml:space="preserve">Spring Boot упрощает запуск приложений за счёт автоконфигурации, starter-зависимостей, встроенных серверов и внешней конфигурации. Он не заменяет Spring Framework, а упрощает типовую настройку приложения.</t>
  </si>
  <si>
    <t xml:space="preserve">Проверить понимание профилей и конфигурации окружений.</t>
  </si>
  <si>
    <t xml:space="preserve">   1. Как вынести секреты и настройки БД из исходного кода?
   2. Как работает auto-configuration и как Spring Boot решает, какую конфигурацию применить?
   3. Что такое starter-зависимости и зачем управлять версиями через dependency management?
   4. Как отличаются application.properties/application.yml и переменные окружения?
   5. Как безопасно хранить секреты и чем отличаются профили от секрет-хранилища?</t>
  </si>
  <si>
    <t xml:space="preserve">Ресурсы обычно именуют существительными, например /orders. GET читает, POST создаёт или запускает обработку, PUT/PATCH обновляют, DELETE удаляет. Частые коды: 200, 201, 204, 400, 401, 403, 404, 409, 500; выбор зависит от результата и контракта API.</t>
  </si>
  <si>
    <t xml:space="preserve">Отличать 401 (не аутентифицирован) от 403 (нет прав).</t>
  </si>
  <si>
    <t xml:space="preserve">   1. Когда вернуть 201 Created и заголовок Location?
✓ 2. Когда использовать 200, 201, 202 и 204?
   3. Чем отличаются 401 и 403?
   4. Как проектировать пагинацию, сортировку и фильтрацию в API?
   5. Как версионировать API и поддерживать обратную совместимость?</t>
  </si>
  <si>
    <t xml:space="preserve">Mockito изолирует unit-тестируемый класс, подменяя зависимости и проверяя взаимодействия там, где это важно. Spring Boot Test поднимает Spring-контекст для интеграционных проверок конфигурации и связей компонентов; такие тесты дороже и должны дополнять быстрые unit-тесты.</t>
  </si>
  <si>
    <t xml:space="preserve">Не превращать каждый unit-тест в тест Spring-контекста.</t>
  </si>
  <si>
    <t xml:space="preserve">   1. Как протестировать контроллер с MockMvc?
   2. Что лучше проверять через verify(), а что — через результат метода?
   3. Почему чрезмерное мокирование внутренних деталей делает тесты хрупкими?
   4. Когда нужен MockMvc, а когда полноценный интеграционный тест?
   5. Как изолировать данные и внешние сервисы в тестах?</t>
  </si>
  <si>
    <t xml:space="preserve">Пароли нельзя хранить в открытом виде или шифровать обратимым способом. Нужно использовать специализированный медленный password-hashing алгоритм, например Argon2id, bcrypt или scrypt, с уникальной солью; параметры подбирают по актуальным рекомендациям и возможностям инфраструктуры.</t>
  </si>
  <si>
    <t xml:space="preserve">Подчеркнуть, что обычный SHA-256 без специальной схемы не подходит.</t>
  </si>
  <si>
    <t xml:space="preserve">   1. Что делать при утечке хешей паролей?
   2. Почему обычный SHA-256 недостаточен для хранения паролей?
   3. Что такое соль и почему она должна быть уникальной для каждого пароля?
   4. Как выбирать параметры Argon2id или bcrypt с учётом производительности?
   5. Как безопасно организовать сброс пароля и реакцию на компрометацию хешей?</t>
  </si>
  <si>
    <t xml:space="preserve">Сначала определить тип OOME и собрать метрики heap, GC, аллокаций и процесса. Снять heap dump и изучить dominator tree/retained size в MAT или аналогичном инструменте; найти пути удержания объектов, проверить кэши, коллекции и classloader. Сопоставить выводы с нагрузкой и исправить причину, а не просто увеличить heap.</t>
  </si>
  <si>
    <t xml:space="preserve">Ожидается последовательный диагностический подход с измерениями и проверкой гипотез.</t>
  </si>
  <si>
    <t xml:space="preserve">   1. Какие метрики и артефакты собрать в production безопасно?
   2. Чем отличаются Java heap space, Metaspace, Direct buffer memory и unable to create native thread?
   3. Какие метрики и JVM-флаги стоит включить для диагностики в production?
   4. Как по heap dump определить dominator и путь удержания объекта от GC root?
   5. Почему простое увеличение -Xmx может замаскировать, но не устранить проблему?</t>
  </si>
  <si>
    <t xml:space="preserve">Happens-before — отношение модели памяти Java, задающее видимость и порядок между действиями. Запись в volatile-поле happens-before последующего чтения этого поля; volatile обеспечивает видимость и ограничения переупорядочивания, но не делает составные операции вроде count++ атомарными.</t>
  </si>
  <si>
    <t xml:space="preserve">Проверить различие видимости и атомарности.</t>
  </si>
  <si>
    <t xml:space="preserve">   1. Как безопасно реализовать счётчик при высокой конкуренции?
   2. Какие действия в Java Memory Model создают happens-before связь?
   3. Почему volatile не делает операцию count++ атомарной?
   4. Чем volatile отличается от synchronized по гарантиям?
   5. Когда вместо volatile стоит использовать AtomicInteger, Lock или неизменяемое состояние?</t>
  </si>
  <si>
    <t xml:space="preserve">synchronized даёт взаимное исключение и гарантии видимости при входе/выходе из монитора. Lock предлагает дополнительные возможности, например tryLock и interruptible acquisition. Atomic-классы поддерживают атомарные операции над отдельными значениями, часто на основе CAS. Выбор зависит от инвариантов и измерений.</t>
  </si>
  <si>
    <t xml:space="preserve">Ожидается выбор инструмента под задачу, а не лозунг о скорости.</t>
  </si>
  <si>
    <t xml:space="preserve">✓ 1. Что такое ABA-проблема при CAS?
   2. Что такое CAS и как он работает концептуально?
   3. Что такое ABA-проблема и какие подходы помогают её избежать?
   4. Когда ReentrantLock полезнее synchronized?
   5. Как измерить contention и убедиться, что выбранный механизм действительно улучшает производительность?</t>
  </si>
  <si>
    <t xml:space="preserve">В типичной конфигурации Spring транзакционность реализуется прокси. Вызов метода внутри того же объекта может обойти прокси и не применить ожидаемую транзакционную семантику. По умолчанию RuntimeException и Error приводят к rollback; checked-исключения обычно нет, если не настроить rollbackFor. Важны propagation, isolation и границы транзакции.</t>
  </si>
  <si>
    <t xml:space="preserve">Кандидат должен учитывать прокси-модель и правила rollback.</t>
  </si>
  <si>
    <t xml:space="preserve">   1. Почему вызов private-метода или self-invocation может не сработать ожидаемо?
   2. Почему self-invocation может обходить транзакционный прокси?
   3. Какие исключения приводят к rollback по умолчанию и как изменить это правило?
   4. Как влияют proxy-based AOP и режим AspectJ на применение аннотации?
   5. Почему транзакция не должна без необходимости охватывать медленный внешний HTTP-вызов?</t>
  </si>
  <si>
    <t xml:space="preserve">Propagation определяет поведение при наличии внешней транзакции: REQUIRED присоединяется или создаёт; REQUIRES_NEW приостанавливает внешнюю и создаёт новую; NESTED при поддержке использует savepoint. Isolation определяет видимость конкурентных изменений. Выбор должен исходить из бизнес-инвариантов и возможностей СУБД.</t>
  </si>
  <si>
    <t xml:space="preserve">Нужны примеры сценариев и понимание стоимости отдельных транзакций.</t>
  </si>
  <si>
    <t xml:space="preserve">   1. Почему REQUIRES_NEW может привести к неожиданным результатам при откате внешней транзакции?
   2. Чем REQUIRED отличается от REQUIRES_NEW на примере аудита или уведомления?
   3. Что именно гарантирует NESTED и от чего зависит его поддержка?
   4. Какие аномалии могут возникнуть при READ COMMITTED и REPEATABLE READ?
   5. Как проверить реальные гарантии изоляции именно используемой СУБД?</t>
  </si>
  <si>
    <t xml:space="preserve">Получить фактический план выполнения (например, EXPLAIN ANALYZE, если безопасно), проверить оценки и фактические строки, типы join, scan, сортировки, блокировки и статистику. Проверить селективность и индексы, объём возвращаемых данных и N+1. Изменения проверить на репрезентативных данных и нагрузке.</t>
  </si>
  <si>
    <t xml:space="preserve">Не предлагать добавлять индексы без анализа плана и нагрузки.</t>
  </si>
  <si>
    <t xml:space="preserve">   1. Как составной индекс (a,b) помогает запросам и когда не помогает?
   2. Какие отличия между estimated plan и actual execution plan?
   3. Как распознать лишний full table scan, плохую оценку cardinality или дорогую сортировку?
   4. Как проверить влияние индекса на чтение и стоимость записи?
   5. Какие риски есть у EXPLAIN ANALYZE на тяжёлом запросе в production?</t>
  </si>
  <si>
    <t xml:space="preserve">READ UNCOMMITTED, READ COMMITTED, REPEATABLE READ и SERIALIZABLE задают разные ограничения на аномалии, но точные гарантии зависят от СУБД. Важно понимать dirty read, non-repeatable read, phantom read и потерянное обновление, а также применять блокировки или optimistic locking для бизнес-инвариантов.</t>
  </si>
  <si>
    <t xml:space="preserve">Ожидается понимание, что название уровня не всегда полностью описывает реализацию СУБД.</t>
  </si>
  <si>
    <t xml:space="preserve">   1. Как предотвратить двойное списание остатка при двух параллельных запросах?
   2. Объясните dirty read, non-repeatable read, phantom read и lost update на примерах.
   3. Почему одинаковый уровень изоляции может вести себя по-разному в разных СУБД?
   4. Как защитить инвариант «остаток не может быть отрицательным» при конкурентных обновлениях?
   5. Когда уместны optimistic locking, SELECT FOR UPDATE или SERIALIZABLE?</t>
  </si>
  <si>
    <t xml:space="preserve">N+1 возникает, когда загрузка списка сущностей сопровождается отдельным запросом на связанную сущность для каждой строки. Обнаруживают по SQL-логам, метрикам и профилированию. Исправляют осознанным fetch join, EntityGraph, batch fetching или DTO-проекцией; нельзя бездумно делать все связи EAGER.</t>
  </si>
  <si>
    <t xml:space="preserve">Важно учитывать дубли строк, пагинацию и размер результата.</t>
  </si>
  <si>
    <t xml:space="preserve">   1. Почему fetch join коллекции может осложнить пагинацию?
   2. Как обнаружить N+1 по SQL-логам, метрикам или тестам?
✓ 3. Чем fetch join отличается от EntityGraph и batch fetching?
   4. Почему fetch join коллекции осложняет пагинацию и может дублировать строки?
   5. Почему перевод всех связей в EAGER обычно не является универсальным исправлением?</t>
  </si>
  <si>
    <t xml:space="preserve">Optimistic locking обычно использует @Version: обновление проверяет версию и конфликт приводит к исключению, после чего приложение может повторить или отклонить операцию. Pessimistic locking берёт блокировку в БД, например SELECT FOR UPDATE, и подходит при высокой вероятности конфликтов, но может снижать параллелизм и создавать deadlock.</t>
  </si>
  <si>
    <t xml:space="preserve">Нужен выбор на основе частоты конфликтов и длительности транзакции.</t>
  </si>
  <si>
    <t xml:space="preserve">   1. Как безопасно повторить операцию после optimistic-lock conflict?
   2. Как работает поле @Version при UPDATE и что происходит при конфликте?
   3. В каких случаях пессимистическая блокировка может привести к deadlock?
   4. Как безопасно повторить транзакцию после optimistic-lock conflict?
   5. Почему повтор операции должен учитывать идемпотентность и побочные эффекты?</t>
  </si>
  <si>
    <t xml:space="preserve">Для операций, где повтор запроса опасен, можно принимать idempotency key, сохранять ключ вместе с результатом в транзакционно согласованном хранилище и возвращать прежний результат для повторов. Нужно определить срок хранения, область уникальности и поведение при конкурентных запросах с одним ключом.</t>
  </si>
  <si>
    <t xml:space="preserve">Ожидается разговор о повторах клиента, таймаутах и атомарности.</t>
  </si>
  <si>
    <t xml:space="preserve">   1. Как не создать два платежа при одновременных запросах с одинаковым ключом?
   2. Где хранить idempotency key и результат, чтобы они фиксировались атомарно?
   3. Что делать, если два запроса с одним ключом приходят одновременно?
   4. Как поступать, если один ключ повторно использован с другим телом запроса?
   5. Как выбрать срок хранения ключа и обеспечить дедупликацию после рестарта?</t>
  </si>
  <si>
    <t xml:space="preserve">Нужно единообразно преобразовывать ошибки в стабильный контракт: подходящие HTTP-коды, машинно-читаемый код ошибки, безопасное сообщение и correlation/trace ID. В Spring это можно реализовать через @ControllerAdvice. Не раскрывать stack trace, SQL и секреты клиенту; логировать с контекстом и без чувствительных данных.</t>
  </si>
  <si>
    <t xml:space="preserve">Проверить разделение ожидаемых бизнес-ошибок и внутренних сбоев.</t>
  </si>
  <si>
    <t xml:space="preserve">   1. Как сопоставить ошибку с логами и trace в распределённой системе?
   2. Как разделить бизнес-ошибки, ошибки валидации и неожиданные внутренние сбои?
   3. Какие поля включить в единый формат ошибки, чтобы клиент мог обработать её программно?
✓ 4. Как связать ответ клиенту с логами и distributed trace?
   5. Какие сведения нельзя возвращать клиенту и почему?</t>
  </si>
  <si>
    <t xml:space="preserve">Разделить unit-тесты бизнес-логики, интеграционные тесты с реальной совместимой БД (часто через Testcontainers) и контрактные/компонентные тесты внешнего API. Сетевые вызовы в unit-тестах заменять контролируемыми doubles; проверять таймауты, ошибки и повторы. Тестовые данные должны быть изолированы и воспроизводимы.</t>
  </si>
  <si>
    <t xml:space="preserve">Ожидается разумная тестовая пирамида и контроль flaky-тестов.</t>
  </si>
  <si>
    <t xml:space="preserve">   1. Какие проблемы могут возникнуть при использовании H2 вместо production PostgreSQL?
   2. Когда достаточно mock, а когда нужен Testcontainers с реальной СУБД?
   3. Какие несовместимости могут скрываться при тестировании на H2 вместо PostgreSQL?
   4. Как тестировать таймауты, retry, circuit breaker и ошибки внешнего API?
   5. Как сделать интеграционные тесты детерминированными и независимыми друг от друга?</t>
  </si>
  <si>
    <t xml:space="preserve">Разложить latency по этапам: входящий запрос, пул потоков, CPU, GC, БД, внешние вызовы и очереди. Использовать метрики, профилировщик, distributed tracing и нагрузочные тесты; смотреть p95/p99, насыщение пулов и таймауты. Оптимизировать узкое место и сравнить результаты до/после.</t>
  </si>
  <si>
    <t xml:space="preserve">Ожидается измеримый процесс, а не преждевременная оптимизация.</t>
  </si>
  <si>
    <t xml:space="preserve">   1. Какие сигналы отличают CPU-bound от I/O-bound проблемы?
   2. Почему важно смотреть p95/p99, а не только среднюю latency?
   3. Какие признаки указывают на CPU-bound, I/O-bound или блокировки потоков?
   4. Как отличить медленный SQL от ожидания соединения в пуле?
✓ 5. Как построить нагрузочный тест, который воспроизводит production-профиль?</t>
  </si>
  <si>
    <t xml:space="preserve">Разделить доменные состояния заказа и платежа, задать явные инварианты и переходы состояний. Не держать распределённую транзакцию открытой во время вызова платёжного провайдера. Использовать идемпотентные команды, устойчивую фиксацию намерения, outbox для публикации событий, обработку повторов и сверку с провайдером. Определить компенсации, таймауты, наблюдаемость и процедуры восстановления.</t>
  </si>
  <si>
    <t xml:space="preserve">Сильный ответ обсуждает сбои между шагами, повторную доставку и reconciliation.</t>
  </si>
  <si>
    <t xml:space="preserve">   1. Что произойдёт, если провайдер списал деньги, но ответ потерялся?
   2. Как моделировать состояния заказа и платежа, чтобы повторные события не ломали процесс?
   3. Что делать, если платёжный провайдер списал деньги, но ответ потерялся?
   4. Как применять transactional outbox, идемпотентность и reconciliation совместно?
   5. Какие компенсационные действия нужны, если заказ отменён после авторизации платежа?</t>
  </si>
  <si>
    <t xml:space="preserve">HTTP подходит для непосредственного запроса-ответа и простого взаимодействия. Очередь полезна для буферизации, асинхронной работы и сглаживания нагрузки. Event streaming подходит для журнала событий и нескольких независимых потребителей. Выбор учитывает latency, coupling, порядок, повторную доставку, replay, операционную сложность и требования к согласованности.</t>
  </si>
  <si>
    <t xml:space="preserve">Не считать брокер универсальным решением всех проблем.</t>
  </si>
  <si>
    <t xml:space="preserve">   1. Как определить, нужен ли Kafka, а не обычная очередь?
   2. Какие требования к задержке, порядку и повторному проигрыванию событий определяют выбор?
   3. Как обработать backpressure и не допустить неограниченного роста очереди?
   4. Какие гарантии доставки и порядок сообщений реально нужны бизнес-процессу?
   5. Какие операционные затраты добавляет брокер и когда модульный монолит проще?</t>
  </si>
  <si>
    <t xml:space="preserve">Наивная последовательность «commit БД, затем publish» допускает потерю события при падении между шагами. Transactional outbox записывает бизнес-изменение и событие в одной локальной транзакции, а отдельный relay публикует его. Потребитель должен быть идемпотентным, поскольку доставка обычно at-least-once; нужны мониторинг отставания и очистка outbox.</t>
  </si>
  <si>
    <t xml:space="preserve">Ожидается понимание границы транзакции БД и брокера.</t>
  </si>
  <si>
    <t xml:space="preserve">   1. Как избежать повторной обработки одного события потребителем?
   2. В какой транзакции должны сохраняться бизнес-изменение и запись outbox?
   3. Как relay должен отмечать опубликованные записи и что происходит при падении после publish, но до отметки?
   4. Как потребитель может обеспечить идемпотентную обработку события?
✓ 5. Как мониторить отставание outbox и безопасно повторно публиковать застрявшие события?</t>
  </si>
  <si>
    <t xml:space="preserve">Exactly-once — не универсальная гарантия на всю цепочку. Брокер может обеспечивать определённые гарантии в пределах своей транзакционной модели, но побочные эффекты в другой БД или внешнем API требуют отдельного согласования. Практически строят идемпотентных потребителей, дедупликацию, атомарные записи результата и offset там, где это поддерживается.</t>
  </si>
  <si>
    <t xml:space="preserve">Сильный кандидат уточняет границы гарантии и failure modes.</t>
  </si>
  <si>
    <t xml:space="preserve">   1. Как согласовать обновление PostgreSQL и подтверждение сообщения из брокера?
   2. На какой границе брокер может гарантировать exactly-once, а где гарантия заканчивается?
   3. Почему запись в БД и подтверждение сообщения — две отдельные операции с окном сбоя?
   4. Как применить inbox/deduplication table и уникальный идентификатор события?
   5. Когда проще принять at-least-once delivery и сделать обработчик идемпотентным?</t>
  </si>
  <si>
    <t xml:space="preserve">Начать с SLO, профиля нагрузки и измерений. Применять горизонтальное масштабирование, ограниченные пулы и очереди, таймауты, ограниченные повторы с backoff/jitter, circuit breaker, bulkhead и backpressure. Задавать бюджеты ресурсов, лимиты нагрузки и деградационные режимы; тестировать отказ зависимостей и capacity.</t>
  </si>
  <si>
    <t xml:space="preserve">Ожидается понимание, что неограниченные ретраи и очереди усиливают аварию.</t>
  </si>
  <si>
    <t xml:space="preserve">   1. Как подобрать timeout и retry budget для цепочки из нескольких сервисов?
   2. Как выбрать timeout и бюджет повторов для цепочки зависимых сервисов?
✓ 3. Чем circuit breaker отличается от retry, bulkhead и rate limiter?
   4. Как backpressure и ограниченные очереди предотвращают истощение ресурсов?
   5. Какие нагрузочные и chaos-тесты помогут проверить защитные механизмы?</t>
  </si>
  <si>
    <t xml:space="preserve">Использовать TLS, надёжную аутентификацию и проверку авторизации на каждом ресурсе, минимальные привилегии, валидацию входа, ограничения размера и частоты запросов, безопасное управление секретами и ротацию. Для токенов проверять подпись, issuer, audience, срок действия и алгоритм; аудит и логи не должны содержать секреты. Нужны обновления зависимостей и threat modeling.</t>
  </si>
  <si>
    <t xml:space="preserve">Ожидается защита на нескольких уровнях, не только наличие JWT.</t>
  </si>
  <si>
    <t xml:space="preserve">   1. Как предотвратить IDOR при доступе к /users/{id}/orders?
   2. Как проверять issuer, audience, срок действия и подпись JWT?
   3. Что такое IDOR/BOLA и как проверить права на конкретный объект, а не только роль пользователя?
   4. Как защищаться от brute force, abuse и чрезмерно больших запросов?
   5. Как организовать ротацию секретов, аудит и безопасное логирование?</t>
  </si>
  <si>
    <t xml:space="preserve">Начинать с доменных границ, бизнес-возможностей, владения данными и независимых причин изменения, а не с технических слоёв. Выделять постепенно через strangler-подход, определять контракты и миграцию данных, наблюдаемость и rollback. Учитывать сетевые сбои, eventual consistency и дополнительную стоимость эксплуатации.</t>
  </si>
  <si>
    <t xml:space="preserve">Сильный ответ объясняет, когда оставить модульный монолит.</t>
  </si>
  <si>
    <t xml:space="preserve">   1. Какие признаки говорят, что микросервисы пока не нужны?
   2. Как определить bounded context и владельца данных для выделяемого сервиса?
   3. Какие признаки показывают, что модульный монолит будет проще микросервисов?
   4. Как мигрировать трафик и данные по strangler-подходу с возможностью отката?
   5. Как избежать распределённых транзакций и сохранить согласованность между новыми сервисами?</t>
  </si>
  <si>
    <t xml:space="preserve">Применять expand-and-contract: сначала совместимое расширение схемы, затем выкладка кода, который поддерживает старую и новую структуру, backfill небольшими порциями, проверка согласованности, переключение чтения/записи и только потом удаление старого поля. Учитывать блокировки DDL, длительность миграций и возможность rollback.</t>
  </si>
  <si>
    <t xml:space="preserve">Ожидается совместимость версий приложения во время rolling deployment.</t>
  </si>
  <si>
    <t xml:space="preserve">   1. Как переименовать большое поле, если старые и новые экземпляры работают одновременно?
   2. Как по шагам работает expand-and-contract при переименовании столбца?
   3. Как обеспечить совместимость старой и новой версии приложения во время rolling deployment?
✓ 4. Как выполнять backfill большими таблицами без блокировок и перегрузки БД?
   5. Как проверить полноту миграции и определить момент безопасного удаления старой схемы?</t>
  </si>
  <si>
    <t xml:space="preserve">Определить пользовательские SLI: долю успешных запросов, latency (включая p95/p99), throughput и насыщение ресурсов. Задать SLO и error budget; добавить метрики бизнес-потоков, пулов, GC, БД и очередей. Логи структурировать, traces связывать trace ID, алерты строить на симптомах и выгорании error budget, а не на каждом шумном показателе.</t>
  </si>
  <si>
    <t xml:space="preserve">Сильный ответ связывает технические метрики с пользовательским эффектом.</t>
  </si>
  <si>
    <t xml:space="preserve">   1. Как отличить симптом от причины и избежать alert fatigue?
   2. Как определить SLI и выбрать целевые значения SLO с точки зрения пользователя?
   3. Что такое error budget и как он влияет на решение о релизах?
   4. Как связать метрики, структурированные логи и distributed traces по trace ID?
   5. Как уменьшить alert fatigue и настроить алерты на симптомы пользовательских проблем?</t>
  </si>
  <si>
    <t xml:space="preserve">Platform threads подходят для большинства CPU-bound и обычных задач при разумном количестве потоков. Virtual threads (Java 21+) упрощают масштабирование большого числа блокирующих I/O-задач, но не ускоряют CPU-bound работу и не отменяют лимиты БД/внешних систем. Reactive-подход полезен при сквозной неблокирующей обработке и backpressure, но повышает сложность. Решение принимают по профилю нагрузки, ограничениям и измерениям.</t>
  </si>
  <si>
    <t xml:space="preserve">Ожидается знание версии Java и ограничений инфраструктуры.</t>
  </si>
  <si>
    <t xml:space="preserve">   1. Почему virtual threads не означают, что пул соединений БД можно сделать бесконечным?
   2. Почему virtual threads помогают I/O-bound нагрузке, но не ускоряют CPU-bound вычисления?
✓ 3. Какие ограничения БД, connection pool и внешних API остаются при virtual threads?
   4. Какие особенности JDK и блокирующих операций нужно учитывать при использовании virtual threads?
   5. В каких случаях реактивный стек оправдывает сложность, а когда обычный синхронный код проще?</t>
  </si>
  <si>
    <t xml:space="preserve">Подтвердить влияние по SLI/SLO и определить начало/масштаб. Назначить ответственных, проверить недавние релизы и зависимости, стабилизировать систему безопасным rollback или ограничением нагрузки, сохранить диагностические данные. После восстановления провести blameless postmortem с хронологией, корневыми факторами, конкретными владельцами действий и проверкой их эффективности.</t>
  </si>
  <si>
    <t xml:space="preserve">Оценивается управление инцидентом, приоритизация восстановления и культура обучения.</t>
  </si>
  <si>
    <t xml:space="preserve">   1. Какие решения принимать, если rollback тоже рискован?
   2. Какие первые метрики и изменения проверите, чтобы оценить масштаб и начало инцидента?
   3. Когда безопаснее rollback, feature flag, ограничение нагрузки или отключение зависимости?
   4. Как сохранять диагностические данные, не задерживая восстановление сервиса?
   5. Как провести blameless postmortem и превратить выводы в проверяемые действия?</t>
  </si>
  <si>
    <t xml:space="preserve">Как читать отчёт и как считаются оценки</t>
  </si>
  <si>
    <t xml:space="preserve">Общий принцип</t>
  </si>
  <si>
    <t xml:space="preserve">Каждый ответ сравнивается с эталоном из банка вопросов: ищутся ключевые понятия эталона (термины и значимые слова, взвешенные по редкости) и их синонимы из словаря. Оценка лексическая — она не проверяет, что сказанное верно.</t>
  </si>
  <si>
    <t xml:space="preserve">Каждый критерий — от 0 до 10. Итог = (критерий 1 + 2 + 3 + 4) / 4, то есть сумма четырёх критериев, нормированная к максимуму 10, округление до 0,01. На листе «Сводка» это формулы над листом «Вопросы».</t>
  </si>
  <si>
    <t xml:space="preserve">1. Развёрнутость и полнота</t>
  </si>
  <si>
    <t xml:space="preserve">10 × (0,75 × покрытие эталона + 0,25 × длина ответа относительно целевой). Покрытие — доля (по весу) ключевых понятий эталона, которые прозвучали в ответе и в уточнениях.</t>
  </si>
  <si>
    <t xml:space="preserve">2. Техническая грамотность</t>
  </si>
  <si>
    <t xml:space="preserve">10 × (0,6 × покрытие «ядра» понятий + 0,25 × доля технических слов по теме вопроса + 0,15 × покрытие) × (1 − штраф за слова-паразиты и неуверенные обороты, до 40 %).</t>
  </si>
  <si>
    <t xml:space="preserve">3. IT-термины и сленг</t>
  </si>
  <si>
    <t xml:space="preserve">По вопросу: 10 × (0,55 × разнообразие терминов относительно ожидаемого + 0,45 × плотность терминов на 100 слов, цель 12). По интервью: 80 % среднего + 20 % за разнообразие сленга (цель — 3 разных слова: деплой, прод, баг, рефакторинг...).</t>
  </si>
  <si>
    <t xml:space="preserve">4. Скорость ответа</t>
  </si>
  <si>
    <t xml:space="preserve">0,6 × быстрота начала ответа (до 1,5 с — без штрафа, к 19,5 с оценка падает до нуля) + 0,4 × темп речи (90–180 слов/мин — идеально). Умножается на коэффициент содержательности (0,3–1), чтобы быстрый «не знаю» не давал баллов.</t>
  </si>
  <si>
    <t xml:space="preserve">Решение «уточнить / дальше»</t>
  </si>
  <si>
    <t xml:space="preserve">Уточнение задаётся, если покрытие ниже порога уровня, лимит уточнений не исчерпан, кандидат не сказал «не знаю» и уточнение выбирается из банка так, чтобы бить в ещё не названные понятия.</t>
  </si>
  <si>
    <t xml:space="preserve">Столбцы «Прозвучало / Не прозвучало»</t>
  </si>
  <si>
    <t xml:space="preserve">Ключевые понятия эталона; ★ — «ядро» (самые весомые). Подробно по каждому понятию — лист «Понятия» (с фильтром).</t>
  </si>
  <si>
    <t xml:space="preserve">Vosk (быстрый) — промежуточное распознавание, по нему принято решение; Vosk — финальный текст; Whisper — второй, более точный проход (если включён). В итоговой оценке используется самый точный из доступных.</t>
  </si>
  <si>
    <t xml:space="preserve">Ограничения</t>
  </si>
  <si>
    <t xml:space="preserve">Парафраз и редкие синонимы могут быть недооценены; ошибки в формулировках не обнаруживаются; английские термины Vosk слышит неточно (частично исправляется автоматически). Автоматическая оценка — подсказка, а не вердикт.</t>
  </si>
  <si>
    <t xml:space="preserve">Пороги достаточности ответа по уровням</t>
  </si>
  <si>
    <t xml:space="preserve">ответ достаточный при покрытии эталона от 40 %</t>
  </si>
  <si>
    <t xml:space="preserve">ответ достаточный при покрытии эталона от 45 %</t>
  </si>
  <si>
    <t xml:space="preserve">ответ достаточный при покрытии эталона от 50 %</t>
  </si>
  <si>
    <t xml:space="preserve">ответ достаточный при покрытии эталона от 55 %</t>
  </si>
  <si>
    <t xml:space="preserve">Настройки этого интервью</t>
  </si>
  <si>
    <t xml:space="preserve">Распознавание речи</t>
  </si>
  <si>
    <t xml:space="preserve">Vosk ru-0.42 (потоковое)</t>
  </si>
  <si>
    <t xml:space="preserve">Порог тишины (конец ответа)</t>
  </si>
  <si>
    <t xml:space="preserve">450 мс</t>
  </si>
  <si>
    <t xml:space="preserve">Макс. уточняющих вопросов на вопрос</t>
  </si>
  <si>
    <t xml:space="preserve">2</t>
  </si>
  <si>
    <t xml:space="preserve">Второй проход (Whisper)</t>
  </si>
  <si>
    <t xml:space="preserve">выключен</t>
  </si>
</sst>
</file>

<file path=xl/styles.xml><?xml version="1.0" encoding="utf-8"?>
<styleSheet xmlns="http://schemas.openxmlformats.org/spreadsheetml/2006/main">
  <numFmts count="1">
    <numFmt numFmtId="164" formatCode="0.0"/>
  </numFmts>
  <fonts count="11">
    <font>
      <sz val="11"/>
      <color rgb="FF000000"/>
      <name val="Calibri"/>
      <family val="2"/>
    </font>
    <font>
      <b/>
      <sz val="10"/>
      <color rgb="FFFFFFFF"/>
      <name val="Calibri"/>
      <family val="2"/>
    </font>
    <font>
      <sz val="10"/>
      <color rgb="FF000000"/>
      <name val="Calibri"/>
      <family val="2"/>
    </font>
    <font>
      <i/>
      <sz val="10"/>
      <color rgb="FF7F7F7F"/>
      <name val="Calibri"/>
      <family val="2"/>
    </font>
    <font>
      <b/>
      <sz val="10"/>
      <color rgb="FF000000"/>
      <name val="Calibri"/>
      <family val="2"/>
    </font>
    <font>
      <b/>
      <sz val="18"/>
      <color rgb="FFFFFFFF"/>
      <name val="Calibri"/>
      <family val="2"/>
    </font>
    <font>
      <i/>
      <sz val="10"/>
      <color rgb="FF595959"/>
      <name val="Calibri"/>
      <family val="2"/>
    </font>
    <font>
      <b/>
      <sz val="40"/>
      <color rgb="FF1F3864"/>
      <name val="Calibri"/>
      <family val="2"/>
    </font>
    <font>
      <b/>
      <sz val="14"/>
      <color rgb="FF1F3864"/>
      <name val="Calibri"/>
      <family val="2"/>
    </font>
    <font>
      <b/>
      <sz val="12"/>
      <color rgb="FF1F3864"/>
      <name val="Calibri"/>
      <family val="2"/>
    </font>
    <font>
      <sz val="12"/>
      <color rgb="FF2F5597"/>
      <name val="Calibri"/>
      <family val="2"/>
    </font>
  </fonts>
  <fills count="9">
    <fill>
      <patternFill patternType="none"/>
    </fill>
    <fill>
      <patternFill patternType="gray125"/>
    </fill>
    <fill>
      <patternFill patternType="solid">
        <fgColor rgb="FF2F5597"/>
        <bgColor indexed="64"/>
      </patternFill>
    </fill>
    <fill>
      <patternFill patternType="solid">
        <fgColor rgb="FF1F3864"/>
        <bgColor indexed="64"/>
      </patternFill>
    </fill>
    <fill>
      <patternFill patternType="solid">
        <fgColor rgb="FFF2F2F2"/>
        <bgColor indexed="64"/>
      </patternFill>
    </fill>
    <fill>
      <patternFill patternType="solid">
        <fgColor rgb="FFEAF1FB"/>
        <bgColor indexed="64"/>
      </patternFill>
    </fill>
    <fill>
      <patternFill patternType="solid">
        <fgColor rgb="FFDDEBF7"/>
        <bgColor indexed="64"/>
      </patternFill>
    </fill>
    <fill>
      <patternFill patternType="solid">
        <fgColor rgb="FFFFFBEA"/>
        <bgColor indexed="64"/>
      </patternFill>
    </fill>
    <fill>
      <patternFill patternType="solid">
        <fgColor rgb="FFE2EFDA"/>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2" borderId="1" xfId="0" applyNumberFormat="1" applyFont="1" applyFill="1" applyBorder="1" applyAlignment="1">
      <alignment horizontal="center" vertical="center" wrapText="1"/>
    </xf>
    <xf numFmtId="1" fontId="2" fillId="0" borderId="1" xfId="0" applyNumberFormat="1" applyFont="1" applyFill="1" applyBorder="1" applyAlignment="1">
      <alignment horizontal="center" vertical="top"/>
    </xf>
    <xf numFmtId="0" fontId="2" fillId="0" borderId="1" xfId="0" applyNumberFormat="1" applyFont="1" applyFill="1" applyBorder="1" applyAlignment="1">
      <alignment horizontal="center" vertical="top" wrapText="1"/>
    </xf>
    <xf numFmtId="0" fontId="2" fillId="0" borderId="1" xfId="0" applyNumberFormat="1" applyFont="1" applyFill="1" applyBorder="1" applyAlignment="1">
      <alignment vertical="top" wrapText="1"/>
    </xf>
    <xf numFmtId="0" fontId="3" fillId="0" borderId="1" xfId="0" applyNumberFormat="1" applyFont="1" applyFill="1" applyBorder="1" applyAlignment="1">
      <alignment vertical="top" wrapText="1"/>
    </xf>
    <xf numFmtId="9" fontId="2" fillId="0" borderId="1" xfId="0" applyNumberFormat="1" applyFont="1" applyFill="1" applyBorder="1" applyAlignment="1">
      <alignment horizontal="center" vertical="top"/>
    </xf>
    <xf numFmtId="2" fontId="2" fillId="0" borderId="1" xfId="0" applyNumberFormat="1" applyFont="1" applyFill="1" applyBorder="1" applyAlignment="1">
      <alignment horizontal="center" vertical="top"/>
    </xf>
    <xf numFmtId="2" fontId="4" fillId="0" borderId="1" xfId="0" applyNumberFormat="1" applyFont="1" applyFill="1" applyBorder="1" applyAlignment="1">
      <alignment horizontal="center" vertical="top"/>
    </xf>
    <xf numFmtId="0" fontId="5" fillId="3" borderId="0" xfId="0" applyNumberFormat="1" applyFont="1" applyFill="1" applyBorder="1" applyAlignment="1">
      <alignment vertical="center"/>
    </xf>
    <xf numFmtId="0" fontId="6" fillId="0" borderId="0" xfId="0" applyNumberFormat="1" applyFont="1" applyFill="1" applyBorder="1" applyAlignment="1">
      <alignment vertical="top"/>
    </xf>
    <xf numFmtId="0" fontId="4" fillId="4" borderId="1" xfId="0" applyNumberFormat="1" applyFont="1" applyFill="1" applyBorder="1" applyAlignment="1">
      <alignment vertical="center"/>
    </xf>
    <xf numFmtId="0" fontId="2" fillId="0" borderId="1" xfId="0" applyNumberFormat="1" applyFont="1" applyFill="1" applyBorder="1" applyAlignment="1">
      <alignment vertical="center"/>
    </xf>
    <xf numFmtId="0" fontId="1" fillId="2" borderId="1" xfId="0" applyNumberFormat="1" applyFont="1" applyFill="1" applyBorder="1" applyAlignment="1">
      <alignment horizontal="center" vertical="center"/>
    </xf>
    <xf numFmtId="2" fontId="7" fillId="5" borderId="1" xfId="0" applyNumberFormat="1" applyFont="1" applyFill="1" applyBorder="1" applyAlignment="1">
      <alignment horizontal="center" vertical="center"/>
    </xf>
    <xf numFmtId="0" fontId="8" fillId="5" borderId="1" xfId="0" applyNumberFormat="1" applyFont="1" applyFill="1" applyBorder="1" applyAlignment="1">
      <alignment horizontal="center" vertical="center"/>
    </xf>
    <xf numFmtId="0" fontId="9" fillId="6" borderId="0" xfId="0" applyNumberFormat="1" applyFont="1" applyFill="1" applyBorder="1" applyAlignment="1">
      <alignment vertical="center"/>
    </xf>
    <xf numFmtId="0" fontId="10" fillId="0" borderId="1" xfId="0" applyNumberFormat="1" applyFont="1" applyFill="1" applyBorder="1" applyAlignment="1">
      <alignment vertical="center"/>
    </xf>
    <xf numFmtId="0" fontId="4" fillId="6" borderId="1" xfId="0" applyNumberFormat="1" applyFont="1" applyFill="1" applyBorder="1" applyAlignment="1">
      <alignment vertical="center"/>
    </xf>
    <xf numFmtId="2" fontId="4" fillId="6" borderId="1" xfId="0" applyNumberFormat="1" applyFont="1" applyFill="1" applyBorder="1" applyAlignment="1">
      <alignment horizontal="center" vertical="top"/>
    </xf>
    <xf numFmtId="0" fontId="6" fillId="6" borderId="1" xfId="0" applyNumberFormat="1" applyFont="1" applyFill="1" applyBorder="1" applyAlignment="1">
      <alignment vertical="center"/>
    </xf>
    <xf numFmtId="0" fontId="0" fillId="7" borderId="1" xfId="0" applyNumberFormat="1" applyFont="1" applyFill="1" applyBorder="1" applyAlignment="1">
      <alignment vertical="top" wrapText="1"/>
    </xf>
    <xf numFmtId="0" fontId="2" fillId="6" borderId="1" xfId="0" applyNumberFormat="1" applyFont="1" applyFill="1" applyBorder="1" applyAlignment="1">
      <alignment vertical="top" wrapText="1"/>
    </xf>
    <xf numFmtId="0" fontId="2" fillId="8" borderId="1" xfId="0" applyNumberFormat="1" applyFont="1" applyFill="1" applyBorder="1" applyAlignment="1">
      <alignment vertical="top" wrapText="1"/>
    </xf>
    <xf numFmtId="164" fontId="2" fillId="0" borderId="1" xfId="0" applyNumberFormat="1" applyFont="1" applyFill="1" applyBorder="1" applyAlignment="1">
      <alignment horizontal="center" vertical="top"/>
    </xf>
    <xf numFmtId="0" fontId="4" fillId="4" borderId="1" xfId="0" applyNumberFormat="1" applyFont="1" applyFill="1" applyBorder="1" applyAlignment="1">
      <alignment vertical="center" wrapText="1"/>
    </xf>
  </cellXfs>
  <cellStyles count="1">
    <cellStyle name="Normal" xfId="0" builtinId="0"/>
  </cellStyles>
  <dxfs count="3">
    <dxf>
      <font>
        <color rgb="FF006100"/>
      </font>
      <fill>
        <patternFill>
          <bgColor rgb="FFC6EFCE"/>
        </patternFill>
      </fill>
    </dxf>
    <dxf>
      <font>
        <color rgb="FF9C0006"/>
      </font>
      <fill>
        <patternFill>
          <bgColor rgb="FFFFC7CE"/>
        </patternFill>
      </fill>
    </dxf>
    <dxf>
      <font>
        <color rgb="FF7F6000"/>
      </font>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200" b="1"/>
            </a:pPr>
            <a:r>
              <a:rPr lang="ru-RU" sz="1200" b="1"/>
              <a:t>Оценки по критериям</a:t>
            </a:r>
          </a:p>
        </c:rich>
      </c:tx>
      <c:layout/>
    </c:title>
    <c:plotArea>
      <c:layout/>
      <c:barChart>
        <c:barDir val="bar"/>
        <c:grouping val="clustered"/>
        <c:ser>
          <c:idx val="0"/>
          <c:order val="0"/>
          <c:spPr>
            <a:solidFill>
              <a:srgbClr val="2F5597"/>
            </a:solidFill>
          </c:spPr>
          <c:dLbls>
            <c:numFmt formatCode="0.00" sourceLinked="0"/>
            <c:showVal val="1"/>
          </c:dLbls>
          <c:cat>
            <c:strRef>
              <c:f>'Сводка'!$A$14:$A$17</c:f>
              <c:strCache>
                <c:ptCount val="4"/>
                <c:pt idx="0">
                  <c:v>Развёрнутость и полнота ответа</c:v>
                </c:pt>
                <c:pt idx="1">
                  <c:v>Техническая грамотность</c:v>
                </c:pt>
                <c:pt idx="2">
                  <c:v>Владение IT-терминами и сленгом</c:v>
                </c:pt>
                <c:pt idx="3">
                  <c:v>Скорость ответа</c:v>
                </c:pt>
              </c:strCache>
            </c:strRef>
          </c:cat>
          <c:val>
            <c:numRef>
              <c:f>'Сводка'!$B$14:$B$17</c:f>
              <c:numCache>
                <c:formatCode>General</c:formatCode>
                <c:ptCount val="4"/>
                <c:pt idx="0">
                  <c:v>7.01</c:v>
                </c:pt>
                <c:pt idx="1">
                  <c:v>7.25</c:v>
                </c:pt>
                <c:pt idx="2">
                  <c:v>6.86</c:v>
                </c:pt>
                <c:pt idx="3">
                  <c:v>7.24</c:v>
                </c:pt>
              </c:numCache>
            </c:numRef>
          </c:val>
        </c:ser>
        <c:gapWidth val="60"/>
        <c:axId val="50010001"/>
        <c:axId val="50010002"/>
      </c:barChart>
      <c:catAx>
        <c:axId val="50010001"/>
        <c:scaling>
          <c:orientation val="maxMin"/>
        </c:scaling>
        <c:axPos val="l"/>
        <c:tickLblPos val="nextTo"/>
        <c:crossAx val="50010002"/>
        <c:crosses val="autoZero"/>
        <c:auto val="1"/>
        <c:lblAlgn val="ctr"/>
        <c:lblOffset val="100"/>
      </c:catAx>
      <c:valAx>
        <c:axId val="50010002"/>
        <c:scaling>
          <c:orientation val="minMax"/>
          <c:max val="10"/>
          <c:min val="0"/>
        </c:scaling>
        <c:axPos val="b"/>
        <c:majorGridlines>
          <c:spPr>
            <a:ln>
              <a:solidFill>
                <a:srgbClr val="D9D9D9"/>
              </a:solidFill>
            </a:ln>
          </c:spPr>
        </c:majorGridlines>
        <c:numFmt formatCode="General" sourceLinked="1"/>
        <c:tickLblPos val="nextTo"/>
        <c:crossAx val="50010001"/>
        <c:crosses val="max"/>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200" b="1"/>
            </a:pPr>
            <a:r>
              <a:rPr lang="ru-RU" sz="1200" b="1"/>
              <a:t>Итог по темам (0–10)</a:t>
            </a:r>
          </a:p>
        </c:rich>
      </c:tx>
      <c:layout/>
    </c:title>
    <c:plotArea>
      <c:layout/>
      <c:barChart>
        <c:barDir val="bar"/>
        <c:grouping val="clustered"/>
        <c:ser>
          <c:idx val="0"/>
          <c:order val="0"/>
          <c:spPr>
            <a:solidFill>
              <a:srgbClr val="2F5597"/>
            </a:solidFill>
          </c:spPr>
          <c:dLbls>
            <c:numFmt formatCode="0.0" sourceLinked="0"/>
            <c:showVal val="1"/>
          </c:dLbls>
          <c:cat>
            <c:strRef>
              <c:f>'Сводка'!$A$42:$A$67</c:f>
              <c:strCache>
                <c:ptCount val="26"/>
                <c:pt idx="0">
                  <c:v>Observability</c:v>
                </c:pt>
                <c:pt idx="1">
                  <c:v>ООП</c:v>
                </c:pt>
                <c:pt idx="2">
                  <c:v>Spring Boot</c:v>
                </c:pt>
                <c:pt idx="3">
                  <c:v>Многопоточность</c:v>
                </c:pt>
                <c:pt idx="4">
                  <c:v>Базы данных</c:v>
                </c:pt>
                <c:pt idx="5">
                  <c:v>Тестирование</c:v>
                </c:pt>
                <c:pt idx="6">
                  <c:v>Распределённые системы</c:v>
                </c:pt>
                <c:pt idx="7">
                  <c:v>SQL</c:v>
                </c:pt>
                <c:pt idx="8">
                  <c:v>Java Core</c:v>
                </c:pt>
                <c:pt idx="9">
                  <c:v>JVM</c:v>
                </c:pt>
                <c:pt idx="10">
                  <c:v>REST</c:v>
                </c:pt>
                <c:pt idx="11">
                  <c:v>Коллекции</c:v>
                </c:pt>
                <c:pt idx="12">
                  <c:v>Производительность</c:v>
                </c:pt>
                <c:pt idx="13">
                  <c:v>Исключения</c:v>
                </c:pt>
                <c:pt idx="14">
                  <c:v>Generics</c:v>
                </c:pt>
                <c:pt idx="15">
                  <c:v>Инциденты</c:v>
                </c:pt>
                <c:pt idx="16">
                  <c:v>HTTP</c:v>
                </c:pt>
                <c:pt idx="17">
                  <c:v>REST/API</c:v>
                </c:pt>
                <c:pt idx="18">
                  <c:v>Java Concurrency</c:v>
                </c:pt>
                <c:pt idx="19">
                  <c:v>Архитектура</c:v>
                </c:pt>
                <c:pt idx="20">
                  <c:v>Hibernate/JPA</c:v>
                </c:pt>
                <c:pt idx="21">
                  <c:v>Надёжность БД</c:v>
                </c:pt>
                <c:pt idx="22">
                  <c:v>Spring</c:v>
                </c:pt>
                <c:pt idx="23">
                  <c:v>Масштабирование</c:v>
                </c:pt>
                <c:pt idx="24">
                  <c:v>Безопасность</c:v>
                </c:pt>
                <c:pt idx="25">
                  <c:v>Git</c:v>
                </c:pt>
              </c:strCache>
            </c:strRef>
          </c:cat>
          <c:val>
            <c:numRef>
              <c:f>'Сводка'!$D$42:$D$67</c:f>
              <c:numCache>
                <c:formatCode>General</c:formatCode>
                <c:ptCount val="26"/>
                <c:pt idx="0">
                  <c:v>0.66</c:v>
                </c:pt>
                <c:pt idx="1">
                  <c:v>0.73</c:v>
                </c:pt>
                <c:pt idx="2">
                  <c:v>0.75</c:v>
                </c:pt>
                <c:pt idx="3">
                  <c:v>3.37</c:v>
                </c:pt>
                <c:pt idx="4">
                  <c:v>3.9</c:v>
                </c:pt>
                <c:pt idx="5">
                  <c:v>6.05</c:v>
                </c:pt>
                <c:pt idx="6">
                  <c:v>6.56</c:v>
                </c:pt>
                <c:pt idx="7">
                  <c:v>6.9</c:v>
                </c:pt>
                <c:pt idx="8">
                  <c:v>7.52</c:v>
                </c:pt>
                <c:pt idx="9">
                  <c:v>8.44</c:v>
                </c:pt>
                <c:pt idx="10">
                  <c:v>8.54</c:v>
                </c:pt>
                <c:pt idx="11">
                  <c:v>8.66</c:v>
                </c:pt>
                <c:pt idx="12">
                  <c:v>8.66</c:v>
                </c:pt>
                <c:pt idx="13">
                  <c:v>8.72</c:v>
                </c:pt>
                <c:pt idx="14">
                  <c:v>9.04</c:v>
                </c:pt>
                <c:pt idx="15">
                  <c:v>9.06</c:v>
                </c:pt>
                <c:pt idx="16">
                  <c:v>9.08</c:v>
                </c:pt>
                <c:pt idx="17">
                  <c:v>9.11</c:v>
                </c:pt>
                <c:pt idx="18">
                  <c:v>9.12</c:v>
                </c:pt>
                <c:pt idx="19">
                  <c:v>9.15</c:v>
                </c:pt>
                <c:pt idx="20">
                  <c:v>9.23</c:v>
                </c:pt>
                <c:pt idx="21">
                  <c:v>9.27</c:v>
                </c:pt>
                <c:pt idx="22">
                  <c:v>9.27</c:v>
                </c:pt>
                <c:pt idx="23">
                  <c:v>9.33</c:v>
                </c:pt>
                <c:pt idx="24">
                  <c:v>9.4</c:v>
                </c:pt>
                <c:pt idx="25">
                  <c:v>9.65</c:v>
                </c:pt>
              </c:numCache>
            </c:numRef>
          </c:val>
        </c:ser>
        <c:gapWidth val="60"/>
        <c:axId val="50010001"/>
        <c:axId val="50010002"/>
      </c:barChart>
      <c:catAx>
        <c:axId val="50010001"/>
        <c:scaling>
          <c:orientation val="maxMin"/>
        </c:scaling>
        <c:axPos val="l"/>
        <c:tickLblPos val="nextTo"/>
        <c:crossAx val="50010002"/>
        <c:crosses val="autoZero"/>
        <c:auto val="1"/>
        <c:lblAlgn val="ctr"/>
        <c:lblOffset val="100"/>
      </c:catAx>
      <c:valAx>
        <c:axId val="50010002"/>
        <c:scaling>
          <c:orientation val="minMax"/>
          <c:max val="10"/>
          <c:min val="0"/>
        </c:scaling>
        <c:axPos val="b"/>
        <c:majorGridlines>
          <c:spPr>
            <a:ln>
              <a:solidFill>
                <a:srgbClr val="D9D9D9"/>
              </a:solidFill>
            </a:ln>
          </c:spPr>
        </c:majorGridlines>
        <c:numFmt formatCode="General" sourceLinked="1"/>
        <c:tickLblPos val="nextTo"/>
        <c:crossAx val="50010001"/>
        <c:crosses val="max"/>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0</xdr:colOff>
      <xdr:row>11</xdr:row>
      <xdr:rowOff>0</xdr:rowOff>
    </xdr:from>
    <xdr:to>
      <xdr:col>8</xdr:col>
      <xdr:colOff>0</xdr:colOff>
      <xdr:row>18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39</xdr:row>
      <xdr:rowOff>0</xdr:rowOff>
    </xdr:from>
    <xdr:to>
      <xdr:col>8</xdr:col>
      <xdr:colOff>0</xdr:colOff>
      <xdr:row>70</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tabColor rgb="FF1F3864"/>
    <pageSetUpPr fitToPage="1"/>
  </sheetPr>
  <dimension ref="A1:H67"/>
  <sheetViews>
    <sheetView tabSelected="1" showGridLines="0" workbookViewId="0"/>
  </sheetViews>
  <sheetFormatPr defaultRowHeight="15"/>
  <cols>
    <col min="1" max="1" width="34.71" customWidth="1"/>
    <col min="2" max="2" width="13.71" customWidth="1"/>
    <col min="3" max="3" width="13.71" customWidth="1"/>
    <col min="4" max="4" width="13.71" customWidth="1"/>
    <col min="5" max="5" width="13.71" customWidth="1"/>
    <col min="6" max="6" width="17.71" customWidth="1"/>
    <col min="7" max="7" width="17.71" customWidth="1"/>
    <col min="8" max="8" width="17.71" customWidth="1"/>
  </cols>
  <sheetData>
    <row r="1" ht="34" customHeight="1">
      <c r="A1" s="9" t="s">
        <v>0</v>
      </c>
      <c r="B1" s="9"/>
      <c r="C1" s="9"/>
      <c r="D1" s="9"/>
      <c r="E1" s="9"/>
      <c r="F1" s="9"/>
      <c r="G1" s="9"/>
      <c r="H1" s="9"/>
    </row>
    <row r="2">
      <c r="A2" s="10" t="s">
        <v>1</v>
      </c>
      <c r="B2" s="10"/>
      <c r="C2" s="10"/>
      <c r="D2" s="10"/>
      <c r="E2" s="10"/>
      <c r="F2" s="10"/>
      <c r="G2" s="10"/>
      <c r="H2" s="10"/>
    </row>
    <row r="4">
      <c r="A4" s="11" t="s">
        <v>2</v>
      </c>
      <c r="B4" s="12" t="s">
        <v>3</v>
      </c>
      <c r="C4" s="12"/>
      <c r="D4" s="12"/>
      <c r="E4" s="12"/>
      <c r="F4" s="13" t="s">
        <v>4</v>
      </c>
      <c r="G4" s="13"/>
      <c r="H4" s="13"/>
    </row>
    <row r="5" ht="24" customHeight="1">
      <c r="A5" s="11" t="s">
        <v>5</v>
      </c>
      <c r="B5" s="12" t="s">
        <v>6</v>
      </c>
      <c r="C5" s="12"/>
      <c r="D5" s="12"/>
      <c r="E5" s="12"/>
      <c r="F5" s="14">
        <f>B18</f>
        <v>7.09</v>
      </c>
      <c r="G5" s="14"/>
      <c r="H5" s="14"/>
    </row>
    <row r="6" ht="24" customHeight="1">
      <c r="A6" s="11" t="s">
        <v>7</v>
      </c>
      <c r="B6" s="12" t="s">
        <v>8</v>
      </c>
      <c r="C6" s="12"/>
      <c r="D6" s="12"/>
      <c r="E6" s="12"/>
      <c r="F6" s="14"/>
      <c r="G6" s="14"/>
      <c r="H6" s="14"/>
    </row>
    <row r="7" ht="22" customHeight="1">
      <c r="A7" s="11" t="s">
        <v>9</v>
      </c>
      <c r="B7" s="12" t="s">
        <v>10</v>
      </c>
      <c r="C7" s="12"/>
      <c r="D7" s="12"/>
      <c r="E7" s="12"/>
      <c r="F7" s="14"/>
      <c r="G7" s="14"/>
      <c r="H7" s="14"/>
    </row>
    <row r="8" ht="22" customHeight="1">
      <c r="A8" s="11" t="s">
        <v>11</v>
      </c>
      <c r="B8" s="12" t="s">
        <v>12</v>
      </c>
      <c r="C8" s="12"/>
      <c r="D8" s="12"/>
      <c r="E8" s="12"/>
      <c r="F8" s="14"/>
      <c r="G8" s="14"/>
      <c r="H8" s="14"/>
    </row>
    <row r="9" ht="22" customHeight="1">
      <c r="A9" s="11" t="s">
        <v>13</v>
      </c>
      <c r="B9" s="12" t="s">
        <v>14</v>
      </c>
      <c r="C9" s="12"/>
      <c r="D9" s="12"/>
      <c r="E9" s="12"/>
      <c r="F9" s="15" t="str">
        <f>IF(F5&gt;=8.5,"Отлично",IF(F5&gt;=7,"Хорошо",IF(F5&gt;=5,"Удовлетворительно",IF(F5&gt;=3,"Слабо","Недостаточно"))))</f>
        <v>Хорошо</v>
      </c>
      <c r="G9" s="15"/>
      <c r="H9" s="15"/>
    </row>
    <row r="10">
      <c r="A10" s="11" t="s">
        <v>15</v>
      </c>
      <c r="B10" s="2">
        <v>1</v>
      </c>
      <c r="C10" s="12" t="s">
        <v>16</v>
      </c>
      <c r="D10" s="12"/>
      <c r="E10" s="12"/>
    </row>
    <row r="12" ht="22" customHeight="1">
      <c r="A12" s="16" t="s">
        <v>17</v>
      </c>
      <c r="B12" s="16"/>
      <c r="C12" s="16"/>
      <c r="D12" s="16"/>
      <c r="E12" s="16"/>
    </row>
    <row r="13">
      <c r="A13" s="1" t="s">
        <v>18</v>
      </c>
      <c r="B13" s="1" t="s">
        <v>19</v>
      </c>
      <c r="C13" s="1" t="s">
        <v>20</v>
      </c>
      <c r="D13" s="1"/>
      <c r="E13" s="1"/>
    </row>
    <row r="14" ht="22" customHeight="1">
      <c r="A14" s="12" t="s">
        <v>21</v>
      </c>
      <c r="B14" s="8">
        <f>ROUND(AVERAGE('Вопросы'!K2:K51),2)</f>
        <v>7.01</v>
      </c>
      <c r="C14" s="17" t="str">
        <f>REPT("█",ROUND(B14,0))&amp;REPT("░",10-ROUND(B14,0))</f>
        <v>███████░░░</v>
      </c>
      <c r="D14" s="17"/>
      <c r="E14" s="17"/>
    </row>
    <row r="15" ht="22" customHeight="1">
      <c r="A15" s="12" t="s">
        <v>22</v>
      </c>
      <c r="B15" s="8">
        <f>ROUND(AVERAGE('Вопросы'!L2:L51),2)</f>
        <v>7.25</v>
      </c>
      <c r="C15" s="17" t="str">
        <f>REPT("█",ROUND(B15,0))&amp;REPT("░",10-ROUND(B15,0))</f>
        <v>███████░░░</v>
      </c>
      <c r="D15" s="17"/>
      <c r="E15" s="17"/>
    </row>
    <row r="16" ht="22" customHeight="1">
      <c r="A16" s="12" t="s">
        <v>23</v>
      </c>
      <c r="B16" s="8">
        <f>ROUND(MIN(10,0.8*AVERAGE('Вопросы'!M2:M51)+2*MIN(1,B10/3)),2)</f>
        <v>6.86</v>
      </c>
      <c r="C16" s="17" t="str">
        <f>REPT("█",ROUND(B16,0))&amp;REPT("░",10-ROUND(B16,0))</f>
        <v>███████░░░</v>
      </c>
      <c r="D16" s="17"/>
      <c r="E16" s="17"/>
    </row>
    <row r="17" ht="22" customHeight="1">
      <c r="A17" s="12" t="s">
        <v>24</v>
      </c>
      <c r="B17" s="8">
        <f>ROUND(AVERAGE('Вопросы'!N2:N51),2)</f>
        <v>7.24</v>
      </c>
      <c r="C17" s="17" t="str">
        <f>REPT("█",ROUND(B17,0))&amp;REPT("░",10-ROUND(B17,0))</f>
        <v>███████░░░</v>
      </c>
      <c r="D17" s="17"/>
      <c r="E17" s="17"/>
    </row>
    <row r="18" ht="22" customHeight="1">
      <c r="A18" s="18" t="s">
        <v>25</v>
      </c>
      <c r="B18" s="19">
        <f>ROUND(AVERAGE(B14:B17),2)</f>
        <v>7.09</v>
      </c>
      <c r="C18" s="20" t="s">
        <v>26</v>
      </c>
      <c r="D18" s="20"/>
      <c r="E18" s="20"/>
    </row>
    <row r="20" ht="22" customHeight="1">
      <c r="A20" s="16" t="s">
        <v>27</v>
      </c>
      <c r="B20" s="16"/>
      <c r="C20" s="16"/>
      <c r="D20" s="16"/>
      <c r="E20" s="16"/>
      <c r="F20" s="16"/>
      <c r="G20" s="16"/>
      <c r="H20" s="16"/>
    </row>
    <row r="21" ht="21" customHeight="1">
      <c r="A21" s="21" t="s">
        <v>28</v>
      </c>
      <c r="B21" s="21"/>
      <c r="C21" s="21"/>
      <c r="D21" s="21"/>
      <c r="E21" s="21"/>
      <c r="F21" s="21"/>
      <c r="G21" s="21"/>
      <c r="H21" s="21"/>
    </row>
    <row r="22" ht="21" customHeight="1">
      <c r="A22" s="21"/>
      <c r="B22" s="21"/>
      <c r="C22" s="21"/>
      <c r="D22" s="21"/>
      <c r="E22" s="21"/>
      <c r="F22" s="21"/>
      <c r="G22" s="21"/>
      <c r="H22" s="21"/>
    </row>
    <row r="23" ht="21" customHeight="1">
      <c r="A23" s="21"/>
      <c r="B23" s="21"/>
      <c r="C23" s="21"/>
      <c r="D23" s="21"/>
      <c r="E23" s="21"/>
      <c r="F23" s="21"/>
      <c r="G23" s="21"/>
      <c r="H23" s="21"/>
    </row>
    <row r="24" ht="21" customHeight="1">
      <c r="A24" s="21"/>
      <c r="B24" s="21"/>
      <c r="C24" s="21"/>
      <c r="D24" s="21"/>
      <c r="E24" s="21"/>
      <c r="F24" s="21"/>
      <c r="G24" s="21"/>
      <c r="H24" s="21"/>
    </row>
    <row r="25" ht="21" customHeight="1">
      <c r="A25" s="21"/>
      <c r="B25" s="21"/>
      <c r="C25" s="21"/>
      <c r="D25" s="21"/>
      <c r="E25" s="21"/>
      <c r="F25" s="21"/>
      <c r="G25" s="21"/>
      <c r="H25" s="21"/>
    </row>
    <row r="26" ht="21" customHeight="1">
      <c r="A26" s="21"/>
      <c r="B26" s="21"/>
      <c r="C26" s="21"/>
      <c r="D26" s="21"/>
      <c r="E26" s="21"/>
      <c r="F26" s="21"/>
      <c r="G26" s="21"/>
      <c r="H26" s="21"/>
    </row>
    <row r="27" ht="21" customHeight="1">
      <c r="A27" s="21"/>
      <c r="B27" s="21"/>
      <c r="C27" s="21"/>
      <c r="D27" s="21"/>
      <c r="E27" s="21"/>
      <c r="F27" s="21"/>
      <c r="G27" s="21"/>
      <c r="H27" s="21"/>
    </row>
    <row r="29" ht="22" customHeight="1">
      <c r="A29" s="16" t="s">
        <v>29</v>
      </c>
      <c r="B29" s="16"/>
      <c r="C29" s="16"/>
      <c r="D29" s="16"/>
      <c r="E29" s="16"/>
      <c r="F29" s="16" t="s">
        <v>30</v>
      </c>
      <c r="G29" s="16"/>
      <c r="H29" s="16"/>
    </row>
    <row r="30">
      <c r="A30" s="1" t="s">
        <v>31</v>
      </c>
      <c r="B30" s="1" t="s">
        <v>11</v>
      </c>
      <c r="C30" s="1" t="s">
        <v>32</v>
      </c>
      <c r="D30" s="1" t="s">
        <v>33</v>
      </c>
      <c r="E30" s="1"/>
      <c r="F30" s="1" t="s">
        <v>34</v>
      </c>
      <c r="G30" s="1"/>
      <c r="H30" s="1"/>
    </row>
    <row r="31">
      <c r="A31" s="12" t="s">
        <v>35</v>
      </c>
      <c r="B31" s="2">
        <f>COUNTIF('Вопросы'!$C$2:$C$51,A31)</f>
        <v>12</v>
      </c>
      <c r="C31" s="6">
        <f>IFERROR(AVERAGEIFS('Вопросы'!$G$2:$G$51,'Вопросы'!$C$2:$C$51,A31),0)</f>
        <v>0.7606188962072524</v>
      </c>
      <c r="D31" s="7">
        <f>IFERROR(AVERAGEIFS('Вопросы'!$O$2:$O$51,'Вопросы'!$C$2:$C$51,A31),0)</f>
        <v>7.52</v>
      </c>
      <c r="E31" s="7"/>
      <c r="F31" s="12" t="s">
        <v>36</v>
      </c>
      <c r="G31" s="12"/>
      <c r="H31" s="12"/>
    </row>
    <row r="32">
      <c r="A32" s="12" t="s">
        <v>37</v>
      </c>
      <c r="B32" s="2">
        <f>COUNTIF('Вопросы'!$C$2:$C$51,A32)</f>
        <v>14</v>
      </c>
      <c r="C32" s="6">
        <f>IFERROR(AVERAGEIFS('Вопросы'!$G$2:$G$51,'Вопросы'!$C$2:$C$51,A32),0)</f>
        <v>0.7338355394358905</v>
      </c>
      <c r="D32" s="7">
        <f>IFERROR(AVERAGEIFS('Вопросы'!$O$2:$O$51,'Вопросы'!$C$2:$C$51,A32),0)</f>
        <v>7.23</v>
      </c>
      <c r="E32" s="7"/>
      <c r="F32" s="12" t="s">
        <v>38</v>
      </c>
      <c r="G32" s="12"/>
      <c r="H32" s="12"/>
    </row>
    <row r="33">
      <c r="A33" s="12" t="s">
        <v>39</v>
      </c>
      <c r="B33" s="2">
        <f>COUNTIF('Вопросы'!$C$2:$C$51,A33)</f>
        <v>13</v>
      </c>
      <c r="C33" s="6">
        <f>IFERROR(AVERAGEIFS('Вопросы'!$G$2:$G$51,'Вопросы'!$C$2:$C$51,A33),0)</f>
        <v>0.6493741370749855</v>
      </c>
      <c r="D33" s="7">
        <f>IFERROR(AVERAGEIFS('Вопросы'!$O$2:$O$51,'Вопросы'!$C$2:$C$51,A33),0)</f>
        <v>6.81</v>
      </c>
      <c r="E33" s="7"/>
      <c r="F33" s="12" t="s">
        <v>40</v>
      </c>
      <c r="G33" s="12"/>
      <c r="H33" s="12"/>
    </row>
    <row r="34">
      <c r="A34" s="12" t="s">
        <v>41</v>
      </c>
      <c r="B34" s="2">
        <f>COUNTIF('Вопросы'!$C$2:$C$51,A34)</f>
        <v>11</v>
      </c>
      <c r="C34" s="6">
        <f>IFERROR(AVERAGEIFS('Вопросы'!$G$2:$G$51,'Вопросы'!$C$2:$C$51,A34),0)</f>
        <v>0.801966350426953</v>
      </c>
      <c r="D34" s="7">
        <f>IFERROR(AVERAGEIFS('Вопросы'!$O$2:$O$51,'Вопросы'!$C$2:$C$51,A34),0)</f>
        <v>7.78</v>
      </c>
      <c r="E34" s="7"/>
      <c r="F34" s="12" t="s">
        <v>42</v>
      </c>
      <c r="G34" s="12"/>
      <c r="H34" s="12"/>
    </row>
    <row r="35">
      <c r="F35" s="12" t="s">
        <v>43</v>
      </c>
      <c r="G35" s="12"/>
      <c r="H35" s="12"/>
    </row>
    <row r="36">
      <c r="F36" s="12" t="s">
        <v>44</v>
      </c>
      <c r="G36" s="12"/>
      <c r="H36" s="12"/>
    </row>
    <row r="37">
      <c r="F37" s="12" t="s">
        <v>45</v>
      </c>
      <c r="G37" s="12"/>
      <c r="H37" s="12"/>
    </row>
    <row r="38">
      <c r="F38" s="12" t="s">
        <v>46</v>
      </c>
      <c r="G38" s="12"/>
      <c r="H38" s="12"/>
    </row>
    <row r="40" ht="22" customHeight="1">
      <c r="A40" s="16" t="s">
        <v>47</v>
      </c>
      <c r="B40" s="16"/>
      <c r="C40" s="16"/>
      <c r="D40" s="16"/>
      <c r="E40" s="16"/>
    </row>
    <row r="41">
      <c r="A41" s="1" t="s">
        <v>48</v>
      </c>
      <c r="B41" s="1" t="s">
        <v>11</v>
      </c>
      <c r="C41" s="1" t="s">
        <v>32</v>
      </c>
      <c r="D41" s="1" t="s">
        <v>33</v>
      </c>
      <c r="E41" s="1"/>
    </row>
    <row r="42">
      <c r="A42" s="12" t="s">
        <v>49</v>
      </c>
      <c r="B42" s="2">
        <f>COUNTIF('Вопросы'!$D$2:$D$51,A42)</f>
        <v>1</v>
      </c>
      <c r="C42" s="6">
        <f>IFERROR(AVERAGEIFS('Вопросы'!$G$2:$G$51,'Вопросы'!$D$2:$D$51,A42),0)</f>
        <v>0.0</v>
      </c>
      <c r="D42" s="7">
        <f>IFERROR(AVERAGEIFS('Вопросы'!$O$2:$O$51,'Вопросы'!$D$2:$D$51,A42),0)</f>
        <v>0.66</v>
      </c>
      <c r="E42" s="7"/>
    </row>
    <row r="43">
      <c r="A43" s="12" t="s">
        <v>50</v>
      </c>
      <c r="B43" s="2">
        <f>COUNTIF('Вопросы'!$D$2:$D$51,A43)</f>
        <v>1</v>
      </c>
      <c r="C43" s="6">
        <f>IFERROR(AVERAGEIFS('Вопросы'!$G$2:$G$51,'Вопросы'!$D$2:$D$51,A43),0)</f>
        <v>0.0</v>
      </c>
      <c r="D43" s="7">
        <f>IFERROR(AVERAGEIFS('Вопросы'!$O$2:$O$51,'Вопросы'!$D$2:$D$51,A43),0)</f>
        <v>0.73</v>
      </c>
      <c r="E43" s="7"/>
    </row>
    <row r="44">
      <c r="A44" s="12" t="s">
        <v>51</v>
      </c>
      <c r="B44" s="2">
        <f>COUNTIF('Вопросы'!$D$2:$D$51,A44)</f>
        <v>1</v>
      </c>
      <c r="C44" s="6">
        <f>IFERROR(AVERAGEIFS('Вопросы'!$G$2:$G$51,'Вопросы'!$D$2:$D$51,A44),0)</f>
        <v>0.0</v>
      </c>
      <c r="D44" s="7">
        <f>IFERROR(AVERAGEIFS('Вопросы'!$O$2:$O$51,'Вопросы'!$D$2:$D$51,A44),0)</f>
        <v>0.75</v>
      </c>
      <c r="E44" s="7"/>
    </row>
    <row r="45">
      <c r="A45" s="12" t="s">
        <v>52</v>
      </c>
      <c r="B45" s="2">
        <f>COUNTIF('Вопросы'!$D$2:$D$51,A45)</f>
        <v>3</v>
      </c>
      <c r="C45" s="6">
        <f>IFERROR(AVERAGEIFS('Вопросы'!$G$2:$G$51,'Вопросы'!$D$2:$D$51,A45),0)</f>
        <v>0.2804598467160205</v>
      </c>
      <c r="D45" s="7">
        <f>IFERROR(AVERAGEIFS('Вопросы'!$O$2:$O$51,'Вопросы'!$D$2:$D$51,A45),0)</f>
        <v>3.37</v>
      </c>
      <c r="E45" s="7"/>
    </row>
    <row r="46">
      <c r="A46" s="12" t="s">
        <v>53</v>
      </c>
      <c r="B46" s="2">
        <f>COUNTIF('Вопросы'!$D$2:$D$51,A46)</f>
        <v>2</v>
      </c>
      <c r="C46" s="6">
        <f>IFERROR(AVERAGEIFS('Вопросы'!$G$2:$G$51,'Вопросы'!$D$2:$D$51,A46),0)</f>
        <v>0.2777349595817239</v>
      </c>
      <c r="D46" s="7">
        <f>IFERROR(AVERAGEIFS('Вопросы'!$O$2:$O$51,'Вопросы'!$D$2:$D$51,A46),0)</f>
        <v>3.9</v>
      </c>
      <c r="E46" s="7"/>
    </row>
    <row r="47">
      <c r="A47" s="12" t="s">
        <v>54</v>
      </c>
      <c r="B47" s="2">
        <f>COUNTIF('Вопросы'!$D$2:$D$51,A47)</f>
        <v>3</v>
      </c>
      <c r="C47" s="6">
        <f>IFERROR(AVERAGEIFS('Вопросы'!$G$2:$G$51,'Вопросы'!$D$2:$D$51,A47),0)</f>
        <v>0.6666666666666666</v>
      </c>
      <c r="D47" s="7">
        <f>IFERROR(AVERAGEIFS('Вопросы'!$O$2:$O$51,'Вопросы'!$D$2:$D$51,A47),0)</f>
        <v>6.05</v>
      </c>
      <c r="E47" s="7"/>
    </row>
    <row r="48">
      <c r="A48" s="12" t="s">
        <v>55</v>
      </c>
      <c r="B48" s="2">
        <f>COUNTIF('Вопросы'!$D$2:$D$51,A48)</f>
        <v>3</v>
      </c>
      <c r="C48" s="6">
        <f>IFERROR(AVERAGEIFS('Вопросы'!$G$2:$G$51,'Вопросы'!$D$2:$D$51,A48),0)</f>
        <v>0.6666666666666666</v>
      </c>
      <c r="D48" s="7">
        <f>IFERROR(AVERAGEIFS('Вопросы'!$O$2:$O$51,'Вопросы'!$D$2:$D$51,A48),0)</f>
        <v>6.56</v>
      </c>
      <c r="E48" s="7"/>
    </row>
    <row r="49">
      <c r="A49" s="12" t="s">
        <v>56</v>
      </c>
      <c r="B49" s="2">
        <f>COUNTIF('Вопросы'!$D$2:$D$51,A49)</f>
        <v>4</v>
      </c>
      <c r="C49" s="6">
        <f>IFERROR(AVERAGEIFS('Вопросы'!$G$2:$G$51,'Вопросы'!$D$2:$D$51,A49),0)</f>
        <v>0.6539077626460599</v>
      </c>
      <c r="D49" s="7">
        <f>IFERROR(AVERAGEIFS('Вопросы'!$O$2:$O$51,'Вопросы'!$D$2:$D$51,A49),0)</f>
        <v>6.9</v>
      </c>
      <c r="E49" s="7"/>
    </row>
    <row r="50">
      <c r="A50" s="12" t="s">
        <v>57</v>
      </c>
      <c r="B50" s="2">
        <f>COUNTIF('Вопросы'!$D$2:$D$51,A50)</f>
        <v>6</v>
      </c>
      <c r="C50" s="6">
        <f>IFERROR(AVERAGEIFS('Вопросы'!$G$2:$G$51,'Вопросы'!$D$2:$D$51,A50),0)</f>
        <v>0.7631792567972134</v>
      </c>
      <c r="D50" s="7">
        <f>IFERROR(AVERAGEIFS('Вопросы'!$O$2:$O$51,'Вопросы'!$D$2:$D$51,A50),0)</f>
        <v>7.52</v>
      </c>
      <c r="E50" s="7"/>
    </row>
    <row r="51">
      <c r="A51" s="12" t="s">
        <v>58</v>
      </c>
      <c r="B51" s="2">
        <f>COUNTIF('Вопросы'!$D$2:$D$51,A51)</f>
        <v>2</v>
      </c>
      <c r="C51" s="6">
        <f>IFERROR(AVERAGEIFS('Вопросы'!$G$2:$G$51,'Вопросы'!$D$2:$D$51,A51),0)</f>
        <v>0.8191295035348017</v>
      </c>
      <c r="D51" s="7">
        <f>IFERROR(AVERAGEIFS('Вопросы'!$O$2:$O$51,'Вопросы'!$D$2:$D$51,A51),0)</f>
        <v>8.44</v>
      </c>
      <c r="E51" s="7"/>
    </row>
    <row r="52">
      <c r="A52" s="12" t="s">
        <v>59</v>
      </c>
      <c r="B52" s="2">
        <f>COUNTIF('Вопросы'!$D$2:$D$51,A52)</f>
        <v>1</v>
      </c>
      <c r="C52" s="6">
        <f>IFERROR(AVERAGEIFS('Вопросы'!$G$2:$G$51,'Вопросы'!$D$2:$D$51,A52),0)</f>
        <v>0.8866475744192666</v>
      </c>
      <c r="D52" s="7">
        <f>IFERROR(AVERAGEIFS('Вопросы'!$O$2:$O$51,'Вопросы'!$D$2:$D$51,A52),0)</f>
        <v>8.54</v>
      </c>
      <c r="E52" s="7"/>
    </row>
    <row r="53">
      <c r="A53" s="12" t="s">
        <v>60</v>
      </c>
      <c r="B53" s="2">
        <f>COUNTIF('Вопросы'!$D$2:$D$51,A53)</f>
        <v>2</v>
      </c>
      <c r="C53" s="6">
        <f>IFERROR(AVERAGEIFS('Вопросы'!$G$2:$G$51,'Вопросы'!$D$2:$D$51,A53),0)</f>
        <v>0.8861868631000791</v>
      </c>
      <c r="D53" s="7">
        <f>IFERROR(AVERAGEIFS('Вопросы'!$O$2:$O$51,'Вопросы'!$D$2:$D$51,A53),0)</f>
        <v>8.66</v>
      </c>
      <c r="E53" s="7"/>
    </row>
    <row r="54">
      <c r="A54" s="12" t="s">
        <v>61</v>
      </c>
      <c r="B54" s="2">
        <f>COUNTIF('Вопросы'!$D$2:$D$51,A54)</f>
        <v>1</v>
      </c>
      <c r="C54" s="6">
        <f>IFERROR(AVERAGEIFS('Вопросы'!$G$2:$G$51,'Вопросы'!$D$2:$D$51,A54),0)</f>
        <v>0.7868663716435914</v>
      </c>
      <c r="D54" s="7">
        <f>IFERROR(AVERAGEIFS('Вопросы'!$O$2:$O$51,'Вопросы'!$D$2:$D$51,A54),0)</f>
        <v>8.66</v>
      </c>
      <c r="E54" s="7"/>
    </row>
    <row r="55">
      <c r="A55" s="12" t="s">
        <v>62</v>
      </c>
      <c r="B55" s="2">
        <f>COUNTIF('Вопросы'!$D$2:$D$51,A55)</f>
        <v>2</v>
      </c>
      <c r="C55" s="6">
        <f>IFERROR(AVERAGEIFS('Вопросы'!$G$2:$G$51,'Вопросы'!$D$2:$D$51,A55),0)</f>
        <v>0.7736982073012754</v>
      </c>
      <c r="D55" s="7">
        <f>IFERROR(AVERAGEIFS('Вопросы'!$O$2:$O$51,'Вопросы'!$D$2:$D$51,A55),0)</f>
        <v>8.72</v>
      </c>
      <c r="E55" s="7"/>
    </row>
    <row r="56">
      <c r="A56" s="12" t="s">
        <v>63</v>
      </c>
      <c r="B56" s="2">
        <f>COUNTIF('Вопросы'!$D$2:$D$51,A56)</f>
        <v>1</v>
      </c>
      <c r="C56" s="6">
        <f>IFERROR(AVERAGEIFS('Вопросы'!$G$2:$G$51,'Вопросы'!$D$2:$D$51,A56),0)</f>
        <v>1.0</v>
      </c>
      <c r="D56" s="7">
        <f>IFERROR(AVERAGEIFS('Вопросы'!$O$2:$O$51,'Вопросы'!$D$2:$D$51,A56),0)</f>
        <v>9.04</v>
      </c>
      <c r="E56" s="7"/>
    </row>
    <row r="57">
      <c r="A57" s="12" t="s">
        <v>64</v>
      </c>
      <c r="B57" s="2">
        <f>COUNTIF('Вопросы'!$D$2:$D$51,A57)</f>
        <v>1</v>
      </c>
      <c r="C57" s="6">
        <f>IFERROR(AVERAGEIFS('Вопросы'!$G$2:$G$51,'Вопросы'!$D$2:$D$51,A57),0)</f>
        <v>1.0</v>
      </c>
      <c r="D57" s="7">
        <f>IFERROR(AVERAGEIFS('Вопросы'!$O$2:$O$51,'Вопросы'!$D$2:$D$51,A57),0)</f>
        <v>9.06</v>
      </c>
      <c r="E57" s="7"/>
    </row>
    <row r="58">
      <c r="A58" s="12" t="s">
        <v>65</v>
      </c>
      <c r="B58" s="2">
        <f>COUNTIF('Вопросы'!$D$2:$D$51,A58)</f>
        <v>1</v>
      </c>
      <c r="C58" s="6">
        <f>IFERROR(AVERAGEIFS('Вопросы'!$G$2:$G$51,'Вопросы'!$D$2:$D$51,A58),0)</f>
        <v>1.0</v>
      </c>
      <c r="D58" s="7">
        <f>IFERROR(AVERAGEIFS('Вопросы'!$O$2:$O$51,'Вопросы'!$D$2:$D$51,A58),0)</f>
        <v>9.08</v>
      </c>
      <c r="E58" s="7"/>
    </row>
    <row r="59">
      <c r="A59" s="12" t="s">
        <v>66</v>
      </c>
      <c r="B59" s="2">
        <f>COUNTIF('Вопросы'!$D$2:$D$51,A59)</f>
        <v>1</v>
      </c>
      <c r="C59" s="6">
        <f>IFERROR(AVERAGEIFS('Вопросы'!$G$2:$G$51,'Вопросы'!$D$2:$D$51,A59),0)</f>
        <v>1.0</v>
      </c>
      <c r="D59" s="7">
        <f>IFERROR(AVERAGEIFS('Вопросы'!$O$2:$O$51,'Вопросы'!$D$2:$D$51,A59),0)</f>
        <v>9.11</v>
      </c>
      <c r="E59" s="7"/>
    </row>
    <row r="60">
      <c r="A60" s="12" t="s">
        <v>67</v>
      </c>
      <c r="B60" s="2">
        <f>COUNTIF('Вопросы'!$D$2:$D$51,A60)</f>
        <v>1</v>
      </c>
      <c r="C60" s="6">
        <f>IFERROR(AVERAGEIFS('Вопросы'!$G$2:$G$51,'Вопросы'!$D$2:$D$51,A60),0)</f>
        <v>0.8949385835275278</v>
      </c>
      <c r="D60" s="7">
        <f>IFERROR(AVERAGEIFS('Вопросы'!$O$2:$O$51,'Вопросы'!$D$2:$D$51,A60),0)</f>
        <v>9.12</v>
      </c>
      <c r="E60" s="7"/>
    </row>
    <row r="61">
      <c r="A61" s="12" t="s">
        <v>68</v>
      </c>
      <c r="B61" s="2">
        <f>COUNTIF('Вопросы'!$D$2:$D$51,A61)</f>
        <v>3</v>
      </c>
      <c r="C61" s="6">
        <f>IFERROR(AVERAGEIFS('Вопросы'!$G$2:$G$51,'Вопросы'!$D$2:$D$51,A61),0)</f>
        <v>0.9379513385725685</v>
      </c>
      <c r="D61" s="7">
        <f>IFERROR(AVERAGEIFS('Вопросы'!$O$2:$O$51,'Вопросы'!$D$2:$D$51,A61),0)</f>
        <v>9.15</v>
      </c>
      <c r="E61" s="7"/>
    </row>
    <row r="62">
      <c r="A62" s="12" t="s">
        <v>69</v>
      </c>
      <c r="B62" s="2">
        <f>COUNTIF('Вопросы'!$D$2:$D$51,A62)</f>
        <v>2</v>
      </c>
      <c r="C62" s="6">
        <f>IFERROR(AVERAGEIFS('Вопросы'!$G$2:$G$51,'Вопросы'!$D$2:$D$51,A62),0)</f>
        <v>0.9179202836907665</v>
      </c>
      <c r="D62" s="7">
        <f>IFERROR(AVERAGEIFS('Вопросы'!$O$2:$O$51,'Вопросы'!$D$2:$D$51,A62),0)</f>
        <v>9.23</v>
      </c>
      <c r="E62" s="7"/>
    </row>
    <row r="63">
      <c r="A63" s="12" t="s">
        <v>70</v>
      </c>
      <c r="B63" s="2">
        <f>COUNTIF('Вопросы'!$D$2:$D$51,A63)</f>
        <v>1</v>
      </c>
      <c r="C63" s="6">
        <f>IFERROR(AVERAGEIFS('Вопросы'!$G$2:$G$51,'Вопросы'!$D$2:$D$51,A63),0)</f>
        <v>1.0</v>
      </c>
      <c r="D63" s="7">
        <f>IFERROR(AVERAGEIFS('Вопросы'!$O$2:$O$51,'Вопросы'!$D$2:$D$51,A63),0)</f>
        <v>9.27</v>
      </c>
      <c r="E63" s="7"/>
    </row>
    <row r="64">
      <c r="A64" s="12" t="s">
        <v>71</v>
      </c>
      <c r="B64" s="2">
        <f>COUNTIF('Вопросы'!$D$2:$D$51,A64)</f>
        <v>3</v>
      </c>
      <c r="C64" s="6">
        <f>IFERROR(AVERAGEIFS('Вопросы'!$G$2:$G$51,'Вопросы'!$D$2:$D$51,A64),0)</f>
        <v>0.9900647869502893</v>
      </c>
      <c r="D64" s="7">
        <f>IFERROR(AVERAGEIFS('Вопросы'!$O$2:$O$51,'Вопросы'!$D$2:$D$51,A64),0)</f>
        <v>9.27</v>
      </c>
      <c r="E64" s="7"/>
    </row>
    <row r="65">
      <c r="A65" s="12" t="s">
        <v>72</v>
      </c>
      <c r="B65" s="2">
        <f>COUNTIF('Вопросы'!$D$2:$D$51,A65)</f>
        <v>1</v>
      </c>
      <c r="C65" s="6">
        <f>IFERROR(AVERAGEIFS('Вопросы'!$G$2:$G$51,'Вопросы'!$D$2:$D$51,A65),0)</f>
        <v>0.9266912711689553</v>
      </c>
      <c r="D65" s="7">
        <f>IFERROR(AVERAGEIFS('Вопросы'!$O$2:$O$51,'Вопросы'!$D$2:$D$51,A65),0)</f>
        <v>9.33</v>
      </c>
      <c r="E65" s="7"/>
    </row>
    <row r="66">
      <c r="A66" s="12" t="s">
        <v>73</v>
      </c>
      <c r="B66" s="2">
        <f>COUNTIF('Вопросы'!$D$2:$D$51,A66)</f>
        <v>2</v>
      </c>
      <c r="C66" s="6">
        <f>IFERROR(AVERAGEIFS('Вопросы'!$G$2:$G$51,'Вопросы'!$D$2:$D$51,A66),0)</f>
        <v>1.0</v>
      </c>
      <c r="D66" s="7">
        <f>IFERROR(AVERAGEIFS('Вопросы'!$O$2:$O$51,'Вопросы'!$D$2:$D$51,A66),0)</f>
        <v>9.4</v>
      </c>
      <c r="E66" s="7"/>
    </row>
    <row r="67">
      <c r="A67" s="12" t="s">
        <v>74</v>
      </c>
      <c r="B67" s="2">
        <f>COUNTIF('Вопросы'!$D$2:$D$51,A67)</f>
        <v>1</v>
      </c>
      <c r="C67" s="6">
        <f>IFERROR(AVERAGEIFS('Вопросы'!$G$2:$G$51,'Вопросы'!$D$2:$D$51,A67),0)</f>
        <v>1.0</v>
      </c>
      <c r="D67" s="7">
        <f>IFERROR(AVERAGEIFS('Вопросы'!$O$2:$O$51,'Вопросы'!$D$2:$D$51,A67),0)</f>
        <v>9.65</v>
      </c>
      <c r="E67" s="7"/>
    </row>
  </sheetData>
  <mergeCells count="65">
    <mergeCell ref="A1:H1"/>
    <mergeCell ref="A2:H2"/>
    <mergeCell ref="B4:E4"/>
    <mergeCell ref="B5:E5"/>
    <mergeCell ref="B6:E6"/>
    <mergeCell ref="B7:E7"/>
    <mergeCell ref="B8:E8"/>
    <mergeCell ref="B9:E9"/>
    <mergeCell ref="C10:E10"/>
    <mergeCell ref="F4:H4"/>
    <mergeCell ref="F5:H8"/>
    <mergeCell ref="F9:H9"/>
    <mergeCell ref="A12:E12"/>
    <mergeCell ref="C13:E13"/>
    <mergeCell ref="C14:E14"/>
    <mergeCell ref="C15:E15"/>
    <mergeCell ref="C16:E16"/>
    <mergeCell ref="C17:E17"/>
    <mergeCell ref="C18:E18"/>
    <mergeCell ref="A20:H20"/>
    <mergeCell ref="A21:H27"/>
    <mergeCell ref="A29:E29"/>
    <mergeCell ref="D30:E30"/>
    <mergeCell ref="D31:E31"/>
    <mergeCell ref="D32:E32"/>
    <mergeCell ref="D33:E33"/>
    <mergeCell ref="D34:E34"/>
    <mergeCell ref="F29:H29"/>
    <mergeCell ref="F30:H30"/>
    <mergeCell ref="F31:H31"/>
    <mergeCell ref="F32:H32"/>
    <mergeCell ref="F33:H33"/>
    <mergeCell ref="F34:H34"/>
    <mergeCell ref="F35:H35"/>
    <mergeCell ref="F36:H36"/>
    <mergeCell ref="F37:H37"/>
    <mergeCell ref="F38:H38"/>
    <mergeCell ref="A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s>
  <conditionalFormatting sqref="F5:F8">
    <cfRule type="colorScale" priority="1">
      <colorScale>
        <cfvo type="num" val="0"/>
        <cfvo type="num" val="5"/>
        <cfvo type="num" val="10"/>
        <color rgb="FFF8696B"/>
        <color rgb="FFFFEB84"/>
        <color rgb="FF63BE7B"/>
      </colorScale>
    </cfRule>
  </conditionalFormatting>
  <conditionalFormatting sqref="B14:B17">
    <cfRule type="colorScale" priority="2">
      <colorScale>
        <cfvo type="num" val="0"/>
        <cfvo type="num" val="5"/>
        <cfvo type="num" val="10"/>
        <color rgb="FFF8696B"/>
        <color rgb="FFFFEB84"/>
        <color rgb="FF63BE7B"/>
      </colorScale>
    </cfRule>
  </conditionalFormatting>
  <conditionalFormatting sqref="D31:D34">
    <cfRule type="colorScale" priority="3">
      <colorScale>
        <cfvo type="num" val="0"/>
        <cfvo type="num" val="5"/>
        <cfvo type="num" val="10"/>
        <color rgb="FFF8696B"/>
        <color rgb="FFFFEB84"/>
        <color rgb="FF63BE7B"/>
      </colorScale>
    </cfRule>
  </conditionalFormatting>
  <conditionalFormatting sqref="C31:C34">
    <cfRule type="colorScale" priority="4">
      <colorScale>
        <cfvo type="num" val="0"/>
        <cfvo type="num" val="0.4"/>
        <cfvo type="num" val="1"/>
        <color rgb="FFF8696B"/>
        <color rgb="FFFFEB84"/>
        <color rgb="FF63BE7B"/>
      </colorScale>
    </cfRule>
  </conditionalFormatting>
  <conditionalFormatting sqref="D42:D67">
    <cfRule type="colorScale" priority="5">
      <colorScale>
        <cfvo type="num" val="0"/>
        <cfvo type="num" val="5"/>
        <cfvo type="num" val="10"/>
        <color rgb="FFF8696B"/>
        <color rgb="FFFFEB84"/>
        <color rgb="FF63BE7B"/>
      </colorScale>
    </cfRule>
  </conditionalFormatting>
  <conditionalFormatting sqref="C42:C67">
    <cfRule type="colorScale" priority="6">
      <colorScale>
        <cfvo type="num" val="0"/>
        <cfvo type="num" val="0.4"/>
        <cfvo type="num" val="1"/>
        <color rgb="FFF8696B"/>
        <color rgb="FFFFEB84"/>
        <color rgb="FF63BE7B"/>
      </colorScale>
    </cfRule>
  </conditionalFormatting>
  <pageMargins left="0.5" right="0.5" top="0.6" bottom="0.6" header="0.3" footer="0.3"/>
  <pageSetup paperSize="9" orientation="landscape" fitToHeight="0"/>
  <drawing r:id="rId1"/>
</worksheet>
</file>

<file path=xl/worksheets/sheet2.xml><?xml version="1.0" encoding="utf-8"?>
<worksheet xmlns="http://schemas.openxmlformats.org/spreadsheetml/2006/main" xmlns:r="http://schemas.openxmlformats.org/officeDocument/2006/relationships">
  <sheetPr>
    <tabColor rgb="FF2F5597"/>
    <pageSetUpPr fitToPage="1"/>
  </sheetPr>
  <dimension ref="A1:P51"/>
  <sheetViews>
    <sheetView workbookViewId="0">
      <pane xSplit="2" ySplit="1" topLeftCell="C2" activePane="bottomRight" state="frozen"/>
      <selection pane="topRight"/>
      <selection pane="bottomLeft"/>
      <selection pane="bottomRight"/>
    </sheetView>
  </sheetViews>
  <sheetFormatPr defaultRowHeight="15"/>
  <cols>
    <col min="1" max="1" width="5.71" customWidth="1"/>
    <col min="2" max="2" width="42.71" customWidth="1"/>
    <col min="3" max="3" width="11.71" customWidth="1"/>
    <col min="4" max="4" width="16.71" customWidth="1"/>
    <col min="5" max="5" width="62.71" customWidth="1"/>
    <col min="6" max="6" width="62.71" customWidth="1"/>
    <col min="7" max="7" width="10.71" customWidth="1"/>
    <col min="8" max="8" width="34.71" customWidth="1"/>
    <col min="9" max="9" width="34.71" customWidth="1"/>
    <col min="10" max="10" width="26.71" customWidth="1"/>
    <col min="11" max="11" width="10.21" customWidth="1"/>
    <col min="12" max="12" width="10.21" customWidth="1"/>
    <col min="13" max="13" width="10.21" customWidth="1"/>
    <col min="14" max="14" width="10.21" customWidth="1"/>
    <col min="15" max="15" width="10.71" customWidth="1"/>
    <col min="16" max="16" width="42.71" customWidth="1"/>
  </cols>
  <sheetData>
    <row r="1" ht="34" customHeight="1">
      <c r="A1" s="1" t="s">
        <v>75</v>
      </c>
      <c r="B1" s="1" t="s">
        <v>76</v>
      </c>
      <c r="C1" s="1" t="s">
        <v>31</v>
      </c>
      <c r="D1" s="1" t="s">
        <v>48</v>
      </c>
      <c r="E1" s="1" t="s">
        <v>77</v>
      </c>
      <c r="F1" s="1" t="s">
        <v>78</v>
      </c>
      <c r="G1" s="1" t="s">
        <v>79</v>
      </c>
      <c r="H1" s="1" t="s">
        <v>80</v>
      </c>
      <c r="I1" s="1" t="s">
        <v>81</v>
      </c>
      <c r="J1" s="1" t="s">
        <v>82</v>
      </c>
      <c r="K1" s="1" t="s">
        <v>83</v>
      </c>
      <c r="L1" s="1" t="s">
        <v>84</v>
      </c>
      <c r="M1" s="1" t="s">
        <v>85</v>
      </c>
      <c r="N1" s="1" t="s">
        <v>86</v>
      </c>
      <c r="O1" s="1" t="s">
        <v>87</v>
      </c>
      <c r="P1" s="1" t="s">
        <v>88</v>
      </c>
    </row>
    <row r="2" ht="73.5" customHeight="1">
      <c r="A2" s="2">
        <v>1</v>
      </c>
      <c r="B2" s="4" t="s">
        <v>89</v>
      </c>
      <c r="C2" s="3" t="s">
        <v>35</v>
      </c>
      <c r="D2" s="4" t="s">
        <v>57</v>
      </c>
      <c r="E2" s="4" t="s">
        <v>90</v>
      </c>
      <c r="F2" s="5" t="s">
        <v>91</v>
      </c>
      <c r="G2" s="6">
        <v>1.0</v>
      </c>
      <c r="H2" s="4" t="s">
        <v>92</v>
      </c>
      <c r="I2" s="4" t="s">
        <v>91</v>
      </c>
      <c r="J2" s="4" t="s">
        <v>93</v>
      </c>
      <c r="K2" s="7">
        <v>9.414893617021276</v>
      </c>
      <c r="L2" s="7">
        <v>9.444444444444445</v>
      </c>
      <c r="M2" s="7">
        <v>10.0</v>
      </c>
      <c r="N2" s="7">
        <v>8.421333333333333</v>
      </c>
      <c r="O2" s="8">
        <f>ROUND(AVERAGE(K2:N2),2)</f>
        <v>9.32</v>
      </c>
      <c r="P2" s="4" t="s">
        <v>94</v>
      </c>
    </row>
    <row r="3" ht="60" customHeight="1">
      <c r="A3" s="2">
        <v>2</v>
      </c>
      <c r="B3" s="4" t="s">
        <v>95</v>
      </c>
      <c r="C3" s="3" t="s">
        <v>35</v>
      </c>
      <c r="D3" s="4" t="s">
        <v>57</v>
      </c>
      <c r="E3" s="4" t="s">
        <v>96</v>
      </c>
      <c r="F3" s="4" t="s">
        <v>97</v>
      </c>
      <c r="G3" s="6">
        <v>1.0</v>
      </c>
      <c r="H3" s="4" t="s">
        <v>98</v>
      </c>
      <c r="I3" s="4" t="s">
        <v>91</v>
      </c>
      <c r="J3" s="4" t="s">
        <v>99</v>
      </c>
      <c r="K3" s="7">
        <v>9.404761904761905</v>
      </c>
      <c r="L3" s="7">
        <v>9.375</v>
      </c>
      <c r="M3" s="7">
        <v>10.0</v>
      </c>
      <c r="N3" s="7">
        <v>7.522499999999999</v>
      </c>
      <c r="O3" s="8">
        <f>ROUND(AVERAGE(K3:N3),2)</f>
        <v>9.08</v>
      </c>
      <c r="P3" s="4" t="s">
        <v>100</v>
      </c>
    </row>
    <row r="4" ht="73.5" customHeight="1">
      <c r="A4" s="2">
        <v>3</v>
      </c>
      <c r="B4" s="4" t="s">
        <v>101</v>
      </c>
      <c r="C4" s="3" t="s">
        <v>35</v>
      </c>
      <c r="D4" s="4" t="s">
        <v>50</v>
      </c>
      <c r="E4" s="4" t="s">
        <v>102</v>
      </c>
      <c r="F4" s="5" t="s">
        <v>91</v>
      </c>
      <c r="G4" s="6">
        <v>0.0</v>
      </c>
      <c r="H4" s="4" t="s">
        <v>91</v>
      </c>
      <c r="I4" s="4" t="s">
        <v>103</v>
      </c>
      <c r="J4" s="4" t="s">
        <v>91</v>
      </c>
      <c r="K4" s="7">
        <v>0.4838709677419355</v>
      </c>
      <c r="L4" s="7">
        <v>0.0</v>
      </c>
      <c r="M4" s="7">
        <v>0.0</v>
      </c>
      <c r="N4" s="7">
        <v>2.4532</v>
      </c>
      <c r="O4" s="8">
        <f>ROUND(AVERAGE(K4:N4),2)</f>
        <v>0.73</v>
      </c>
      <c r="P4" s="4" t="s">
        <v>104</v>
      </c>
    </row>
    <row r="5" ht="73.5" customHeight="1">
      <c r="A5" s="2">
        <v>4</v>
      </c>
      <c r="B5" s="4" t="s">
        <v>105</v>
      </c>
      <c r="C5" s="3" t="s">
        <v>35</v>
      </c>
      <c r="D5" s="4" t="s">
        <v>57</v>
      </c>
      <c r="E5" s="4" t="s">
        <v>106</v>
      </c>
      <c r="F5" s="4" t="s">
        <v>107</v>
      </c>
      <c r="G5" s="6">
        <v>0.9539153361133499</v>
      </c>
      <c r="H5" s="4" t="s">
        <v>108</v>
      </c>
      <c r="I5" s="4" t="s">
        <v>109</v>
      </c>
      <c r="J5" s="4" t="s">
        <v>110</v>
      </c>
      <c r="K5" s="7">
        <v>8.779365020850124</v>
      </c>
      <c r="L5" s="7">
        <v>9.930873004170024</v>
      </c>
      <c r="M5" s="7">
        <v>10.0</v>
      </c>
      <c r="N5" s="7">
        <v>8.991666666666665</v>
      </c>
      <c r="O5" s="8">
        <f>ROUND(AVERAGE(K5:N5),2)</f>
        <v>9.43</v>
      </c>
      <c r="P5" s="4" t="s">
        <v>111</v>
      </c>
    </row>
    <row r="6" ht="60" customHeight="1">
      <c r="A6" s="2">
        <v>5</v>
      </c>
      <c r="B6" s="4" t="s">
        <v>112</v>
      </c>
      <c r="C6" s="3" t="s">
        <v>35</v>
      </c>
      <c r="D6" s="4" t="s">
        <v>60</v>
      </c>
      <c r="E6" s="4" t="s">
        <v>113</v>
      </c>
      <c r="F6" s="5" t="s">
        <v>91</v>
      </c>
      <c r="G6" s="6">
        <v>1.0</v>
      </c>
      <c r="H6" s="4" t="s">
        <v>114</v>
      </c>
      <c r="I6" s="4" t="s">
        <v>91</v>
      </c>
      <c r="J6" s="4" t="s">
        <v>115</v>
      </c>
      <c r="K6" s="7">
        <v>9.46969696969697</v>
      </c>
      <c r="L6" s="7">
        <v>9.230769230769232</v>
      </c>
      <c r="M6" s="7">
        <v>10.0</v>
      </c>
      <c r="N6" s="7">
        <v>7.930666666666666</v>
      </c>
      <c r="O6" s="8">
        <f>ROUND(AVERAGE(K6:N6),2)</f>
        <v>9.16</v>
      </c>
      <c r="P6" s="4" t="s">
        <v>94</v>
      </c>
    </row>
    <row r="7" ht="60" customHeight="1">
      <c r="A7" s="2">
        <v>6</v>
      </c>
      <c r="B7" s="4" t="s">
        <v>116</v>
      </c>
      <c r="C7" s="3" t="s">
        <v>35</v>
      </c>
      <c r="D7" s="4" t="s">
        <v>62</v>
      </c>
      <c r="E7" s="4" t="s">
        <v>117</v>
      </c>
      <c r="F7" s="5" t="s">
        <v>91</v>
      </c>
      <c r="G7" s="6">
        <v>0.9327201631195079</v>
      </c>
      <c r="H7" s="4" t="s">
        <v>118</v>
      </c>
      <c r="I7" s="4" t="s">
        <v>119</v>
      </c>
      <c r="J7" s="4" t="s">
        <v>120</v>
      </c>
      <c r="K7" s="7">
        <v>8.97214540944282</v>
      </c>
      <c r="L7" s="7">
        <v>9.316781406756952</v>
      </c>
      <c r="M7" s="7">
        <v>10.0</v>
      </c>
      <c r="N7" s="7">
        <v>9.668333333333333</v>
      </c>
      <c r="O7" s="8">
        <f>ROUND(AVERAGE(K7:N7),2)</f>
        <v>9.49</v>
      </c>
      <c r="P7" s="4" t="s">
        <v>94</v>
      </c>
    </row>
    <row r="8" ht="60" customHeight="1">
      <c r="A8" s="2">
        <v>7</v>
      </c>
      <c r="B8" s="4" t="s">
        <v>121</v>
      </c>
      <c r="C8" s="3" t="s">
        <v>35</v>
      </c>
      <c r="D8" s="4" t="s">
        <v>57</v>
      </c>
      <c r="E8" s="4" t="s">
        <v>122</v>
      </c>
      <c r="F8" s="5" t="s">
        <v>91</v>
      </c>
      <c r="G8" s="6">
        <v>0.6251602046699313</v>
      </c>
      <c r="H8" s="4" t="s">
        <v>123</v>
      </c>
      <c r="I8" s="4" t="s">
        <v>124</v>
      </c>
      <c r="J8" s="4" t="s">
        <v>125</v>
      </c>
      <c r="K8" s="7">
        <v>5.620074084044092</v>
      </c>
      <c r="L8" s="7">
        <v>6.74152037755475</v>
      </c>
      <c r="M8" s="7">
        <v>10.0</v>
      </c>
      <c r="N8" s="7">
        <v>7.179666666666666</v>
      </c>
      <c r="O8" s="8">
        <f>ROUND(AVERAGE(K8:N8),2)</f>
        <v>7.39</v>
      </c>
      <c r="P8" s="4" t="s">
        <v>126</v>
      </c>
    </row>
    <row r="9" ht="73.5" customHeight="1">
      <c r="A9" s="2">
        <v>8</v>
      </c>
      <c r="B9" s="4" t="s">
        <v>127</v>
      </c>
      <c r="C9" s="3" t="s">
        <v>35</v>
      </c>
      <c r="D9" s="4" t="s">
        <v>56</v>
      </c>
      <c r="E9" s="4" t="s">
        <v>102</v>
      </c>
      <c r="F9" s="5" t="s">
        <v>91</v>
      </c>
      <c r="G9" s="6">
        <v>0.0</v>
      </c>
      <c r="H9" s="4" t="s">
        <v>91</v>
      </c>
      <c r="I9" s="4" t="s">
        <v>128</v>
      </c>
      <c r="J9" s="4" t="s">
        <v>91</v>
      </c>
      <c r="K9" s="7">
        <v>0.44117647058823534</v>
      </c>
      <c r="L9" s="7">
        <v>0.0</v>
      </c>
      <c r="M9" s="7">
        <v>0.0</v>
      </c>
      <c r="N9" s="7">
        <v>2.2192999999999996</v>
      </c>
      <c r="O9" s="8">
        <f>ROUND(AVERAGE(K9:N9),2)</f>
        <v>0.67</v>
      </c>
      <c r="P9" s="4" t="s">
        <v>129</v>
      </c>
    </row>
    <row r="10" ht="33" customHeight="1">
      <c r="A10" s="2">
        <v>9</v>
      </c>
      <c r="B10" s="4" t="s">
        <v>130</v>
      </c>
      <c r="C10" s="3" t="s">
        <v>35</v>
      </c>
      <c r="D10" s="4" t="s">
        <v>56</v>
      </c>
      <c r="E10" s="4" t="s">
        <v>131</v>
      </c>
      <c r="F10" s="5" t="s">
        <v>91</v>
      </c>
      <c r="G10" s="6">
        <v>0.6156310505842395</v>
      </c>
      <c r="H10" s="4" t="s">
        <v>132</v>
      </c>
      <c r="I10" s="4" t="s">
        <v>133</v>
      </c>
      <c r="J10" s="4" t="s">
        <v>134</v>
      </c>
      <c r="K10" s="7">
        <v>5.504329653575345</v>
      </c>
      <c r="L10" s="7">
        <v>7.684472433027764</v>
      </c>
      <c r="M10" s="7">
        <v>10.0</v>
      </c>
      <c r="N10" s="7">
        <v>9.219333333333335</v>
      </c>
      <c r="O10" s="8">
        <f>ROUND(AVERAGE(K10:N10),2)</f>
        <v>8.1</v>
      </c>
      <c r="P10" s="4" t="s">
        <v>94</v>
      </c>
    </row>
    <row r="11" ht="73.5" customHeight="1">
      <c r="A11" s="2">
        <v>10</v>
      </c>
      <c r="B11" s="4" t="s">
        <v>135</v>
      </c>
      <c r="C11" s="3" t="s">
        <v>35</v>
      </c>
      <c r="D11" s="4" t="s">
        <v>65</v>
      </c>
      <c r="E11" s="4" t="s">
        <v>136</v>
      </c>
      <c r="F11" s="5" t="s">
        <v>91</v>
      </c>
      <c r="G11" s="6">
        <v>1.0</v>
      </c>
      <c r="H11" s="4" t="s">
        <v>137</v>
      </c>
      <c r="I11" s="4" t="s">
        <v>91</v>
      </c>
      <c r="J11" s="4" t="s">
        <v>138</v>
      </c>
      <c r="K11" s="7">
        <v>9.627659574468085</v>
      </c>
      <c r="L11" s="7">
        <v>9.5</v>
      </c>
      <c r="M11" s="7">
        <v>10.0</v>
      </c>
      <c r="N11" s="7">
        <v>7.205666666666667</v>
      </c>
      <c r="O11" s="8">
        <f>ROUND(AVERAGE(K11:N11),2)</f>
        <v>9.08</v>
      </c>
      <c r="P11" s="4" t="s">
        <v>139</v>
      </c>
    </row>
    <row r="12" ht="73.5" customHeight="1">
      <c r="A12" s="2">
        <v>11</v>
      </c>
      <c r="B12" s="4" t="s">
        <v>140</v>
      </c>
      <c r="C12" s="3" t="s">
        <v>35</v>
      </c>
      <c r="D12" s="4" t="s">
        <v>54</v>
      </c>
      <c r="E12" s="4" t="s">
        <v>141</v>
      </c>
      <c r="F12" s="5" t="s">
        <v>91</v>
      </c>
      <c r="G12" s="6">
        <v>1.0</v>
      </c>
      <c r="H12" s="4" t="s">
        <v>142</v>
      </c>
      <c r="I12" s="4" t="s">
        <v>91</v>
      </c>
      <c r="J12" s="4" t="s">
        <v>143</v>
      </c>
      <c r="K12" s="7">
        <v>9.5</v>
      </c>
      <c r="L12" s="7">
        <v>9.285714285714286</v>
      </c>
      <c r="M12" s="7">
        <v>4.089285714285714</v>
      </c>
      <c r="N12" s="7">
        <v>9.594000000000001</v>
      </c>
      <c r="O12" s="8">
        <f>ROUND(AVERAGE(K12:N12),2)</f>
        <v>8.12</v>
      </c>
      <c r="P12" s="4" t="s">
        <v>94</v>
      </c>
    </row>
    <row r="13" ht="60" customHeight="1">
      <c r="A13" s="2">
        <v>12</v>
      </c>
      <c r="B13" s="4" t="s">
        <v>144</v>
      </c>
      <c r="C13" s="3" t="s">
        <v>35</v>
      </c>
      <c r="D13" s="4" t="s">
        <v>74</v>
      </c>
      <c r="E13" s="4" t="s">
        <v>145</v>
      </c>
      <c r="F13" s="4" t="s">
        <v>146</v>
      </c>
      <c r="G13" s="6">
        <v>1.0</v>
      </c>
      <c r="H13" s="4" t="s">
        <v>147</v>
      </c>
      <c r="I13" s="4" t="s">
        <v>91</v>
      </c>
      <c r="J13" s="4" t="s">
        <v>148</v>
      </c>
      <c r="K13" s="7">
        <v>9.25</v>
      </c>
      <c r="L13" s="7">
        <v>10.0</v>
      </c>
      <c r="M13" s="7">
        <v>10.0</v>
      </c>
      <c r="N13" s="7">
        <v>9.364166666666666</v>
      </c>
      <c r="O13" s="8">
        <f>ROUND(AVERAGE(K13:N13),2)</f>
        <v>9.65</v>
      </c>
      <c r="P13" s="4" t="s">
        <v>111</v>
      </c>
    </row>
    <row r="14" ht="60" customHeight="1">
      <c r="A14" s="2">
        <v>13</v>
      </c>
      <c r="B14" s="4" t="s">
        <v>149</v>
      </c>
      <c r="C14" s="3" t="s">
        <v>37</v>
      </c>
      <c r="D14" s="4" t="s">
        <v>57</v>
      </c>
      <c r="E14" s="4" t="s">
        <v>102</v>
      </c>
      <c r="F14" s="5" t="s">
        <v>91</v>
      </c>
      <c r="G14" s="6">
        <v>0.0</v>
      </c>
      <c r="H14" s="4" t="s">
        <v>91</v>
      </c>
      <c r="I14" s="4" t="s">
        <v>150</v>
      </c>
      <c r="J14" s="4" t="s">
        <v>91</v>
      </c>
      <c r="K14" s="7">
        <v>0.3409090909090909</v>
      </c>
      <c r="L14" s="7">
        <v>0.0</v>
      </c>
      <c r="M14" s="7">
        <v>0.0</v>
      </c>
      <c r="N14" s="7">
        <v>3.0</v>
      </c>
      <c r="O14" s="8">
        <f>ROUND(AVERAGE(K14:N14),2)</f>
        <v>0.84</v>
      </c>
      <c r="P14" s="4" t="s">
        <v>104</v>
      </c>
    </row>
    <row r="15" ht="73.5" customHeight="1">
      <c r="A15" s="2">
        <v>14</v>
      </c>
      <c r="B15" s="4" t="s">
        <v>151</v>
      </c>
      <c r="C15" s="3" t="s">
        <v>37</v>
      </c>
      <c r="D15" s="4" t="s">
        <v>60</v>
      </c>
      <c r="E15" s="4" t="s">
        <v>152</v>
      </c>
      <c r="F15" s="4" t="s">
        <v>153</v>
      </c>
      <c r="G15" s="6">
        <v>0.7723737262001583</v>
      </c>
      <c r="H15" s="4" t="s">
        <v>154</v>
      </c>
      <c r="I15" s="4" t="s">
        <v>155</v>
      </c>
      <c r="J15" s="4" t="s">
        <v>156</v>
      </c>
      <c r="K15" s="7">
        <v>7.497348401046642</v>
      </c>
      <c r="L15" s="7">
        <v>7.585066843941846</v>
      </c>
      <c r="M15" s="7">
        <v>8.900000000000002</v>
      </c>
      <c r="N15" s="7">
        <v>8.631</v>
      </c>
      <c r="O15" s="8">
        <f>ROUND(AVERAGE(K15:N15),2)</f>
        <v>8.15</v>
      </c>
      <c r="P15" s="4" t="s">
        <v>111</v>
      </c>
    </row>
    <row r="16" ht="73.5" customHeight="1">
      <c r="A16" s="2">
        <v>15</v>
      </c>
      <c r="B16" s="4" t="s">
        <v>157</v>
      </c>
      <c r="C16" s="3" t="s">
        <v>37</v>
      </c>
      <c r="D16" s="4" t="s">
        <v>63</v>
      </c>
      <c r="E16" s="4" t="s">
        <v>158</v>
      </c>
      <c r="F16" s="5" t="s">
        <v>91</v>
      </c>
      <c r="G16" s="6">
        <v>1.0</v>
      </c>
      <c r="H16" s="4" t="s">
        <v>159</v>
      </c>
      <c r="I16" s="4" t="s">
        <v>91</v>
      </c>
      <c r="J16" s="4" t="s">
        <v>160</v>
      </c>
      <c r="K16" s="7">
        <v>9.46808510638298</v>
      </c>
      <c r="L16" s="7">
        <v>9.45945945945946</v>
      </c>
      <c r="M16" s="7">
        <v>10.0</v>
      </c>
      <c r="N16" s="7">
        <v>7.227333333333333</v>
      </c>
      <c r="O16" s="8">
        <f>ROUND(AVERAGE(K16:N16),2)</f>
        <v>9.04</v>
      </c>
      <c r="P16" s="4" t="s">
        <v>161</v>
      </c>
    </row>
    <row r="17" ht="73.5" customHeight="1">
      <c r="A17" s="2">
        <v>16</v>
      </c>
      <c r="B17" s="4" t="s">
        <v>162</v>
      </c>
      <c r="C17" s="3" t="s">
        <v>37</v>
      </c>
      <c r="D17" s="4" t="s">
        <v>57</v>
      </c>
      <c r="E17" s="4" t="s">
        <v>163</v>
      </c>
      <c r="F17" s="5" t="s">
        <v>91</v>
      </c>
      <c r="G17" s="6">
        <v>1.0</v>
      </c>
      <c r="H17" s="4" t="s">
        <v>164</v>
      </c>
      <c r="I17" s="4" t="s">
        <v>91</v>
      </c>
      <c r="J17" s="4" t="s">
        <v>165</v>
      </c>
      <c r="K17" s="7">
        <v>9.464285714285714</v>
      </c>
      <c r="L17" s="7">
        <v>9.393939393939394</v>
      </c>
      <c r="M17" s="7">
        <v>10.0</v>
      </c>
      <c r="N17" s="7">
        <v>7.284666666666666</v>
      </c>
      <c r="O17" s="8">
        <f>ROUND(AVERAGE(K17:N17),2)</f>
        <v>9.04</v>
      </c>
      <c r="P17" s="4" t="s">
        <v>166</v>
      </c>
    </row>
    <row r="18" ht="60" customHeight="1">
      <c r="A18" s="2">
        <v>17</v>
      </c>
      <c r="B18" s="4" t="s">
        <v>167</v>
      </c>
      <c r="C18" s="3" t="s">
        <v>37</v>
      </c>
      <c r="D18" s="4" t="s">
        <v>62</v>
      </c>
      <c r="E18" s="4" t="s">
        <v>168</v>
      </c>
      <c r="F18" s="5" t="s">
        <v>91</v>
      </c>
      <c r="G18" s="6">
        <v>0.6146762514830428</v>
      </c>
      <c r="H18" s="4" t="s">
        <v>169</v>
      </c>
      <c r="I18" s="4" t="s">
        <v>170</v>
      </c>
      <c r="J18" s="4" t="s">
        <v>171</v>
      </c>
      <c r="K18" s="7">
        <v>5.620710183995161</v>
      </c>
      <c r="L18" s="7">
        <v>8.399744255668086</v>
      </c>
      <c r="M18" s="7">
        <v>10.0</v>
      </c>
      <c r="N18" s="7">
        <v>7.725</v>
      </c>
      <c r="O18" s="8">
        <f>ROUND(AVERAGE(K18:N18),2)</f>
        <v>7.94</v>
      </c>
      <c r="P18" s="4" t="s">
        <v>172</v>
      </c>
    </row>
    <row r="19" ht="73.5" customHeight="1">
      <c r="A19" s="2">
        <v>18</v>
      </c>
      <c r="B19" s="4" t="s">
        <v>173</v>
      </c>
      <c r="C19" s="3" t="s">
        <v>37</v>
      </c>
      <c r="D19" s="4" t="s">
        <v>52</v>
      </c>
      <c r="E19" s="4" t="s">
        <v>102</v>
      </c>
      <c r="F19" s="5" t="s">
        <v>91</v>
      </c>
      <c r="G19" s="6">
        <v>0.0</v>
      </c>
      <c r="H19" s="4" t="s">
        <v>91</v>
      </c>
      <c r="I19" s="4" t="s">
        <v>174</v>
      </c>
      <c r="J19" s="4" t="s">
        <v>91</v>
      </c>
      <c r="K19" s="7">
        <v>0.38461538461538464</v>
      </c>
      <c r="L19" s="7">
        <v>0.0</v>
      </c>
      <c r="M19" s="7">
        <v>0.0</v>
      </c>
      <c r="N19" s="7">
        <v>2.4827</v>
      </c>
      <c r="O19" s="8">
        <f>ROUND(AVERAGE(K19:N19),2)</f>
        <v>0.72</v>
      </c>
      <c r="P19" s="4" t="s">
        <v>104</v>
      </c>
    </row>
    <row r="20" ht="60" customHeight="1">
      <c r="A20" s="2">
        <v>19</v>
      </c>
      <c r="B20" s="4" t="s">
        <v>175</v>
      </c>
      <c r="C20" s="3" t="s">
        <v>37</v>
      </c>
      <c r="D20" s="4" t="s">
        <v>58</v>
      </c>
      <c r="E20" s="4" t="s">
        <v>176</v>
      </c>
      <c r="F20" s="4" t="s">
        <v>177</v>
      </c>
      <c r="G20" s="6">
        <v>1.0</v>
      </c>
      <c r="H20" s="4" t="s">
        <v>178</v>
      </c>
      <c r="I20" s="4" t="s">
        <v>91</v>
      </c>
      <c r="J20" s="4" t="s">
        <v>179</v>
      </c>
      <c r="K20" s="7">
        <v>9.30232558139535</v>
      </c>
      <c r="L20" s="7">
        <v>10.0</v>
      </c>
      <c r="M20" s="7">
        <v>10.0</v>
      </c>
      <c r="N20" s="7">
        <v>8.025833333333335</v>
      </c>
      <c r="O20" s="8">
        <f>ROUND(AVERAGE(K20:N20),2)</f>
        <v>9.33</v>
      </c>
      <c r="P20" s="4" t="s">
        <v>111</v>
      </c>
    </row>
    <row r="21" ht="60" customHeight="1">
      <c r="A21" s="2">
        <v>20</v>
      </c>
      <c r="B21" s="4" t="s">
        <v>180</v>
      </c>
      <c r="C21" s="3" t="s">
        <v>37</v>
      </c>
      <c r="D21" s="4" t="s">
        <v>56</v>
      </c>
      <c r="E21" s="4" t="s">
        <v>181</v>
      </c>
      <c r="F21" s="5" t="s">
        <v>91</v>
      </c>
      <c r="G21" s="6">
        <v>1.0</v>
      </c>
      <c r="H21" s="4" t="s">
        <v>182</v>
      </c>
      <c r="I21" s="4" t="s">
        <v>91</v>
      </c>
      <c r="J21" s="4" t="s">
        <v>183</v>
      </c>
      <c r="K21" s="7">
        <v>9.571428571428571</v>
      </c>
      <c r="L21" s="7">
        <v>9.310344827586206</v>
      </c>
      <c r="M21" s="7">
        <v>10.0</v>
      </c>
      <c r="N21" s="7">
        <v>8.741333333333333</v>
      </c>
      <c r="O21" s="8">
        <f>ROUND(AVERAGE(K21:N21),2)</f>
        <v>9.41</v>
      </c>
      <c r="P21" s="4" t="s">
        <v>94</v>
      </c>
    </row>
    <row r="22" ht="60" customHeight="1">
      <c r="A22" s="2">
        <v>21</v>
      </c>
      <c r="B22" s="4" t="s">
        <v>184</v>
      </c>
      <c r="C22" s="3" t="s">
        <v>37</v>
      </c>
      <c r="D22" s="4" t="s">
        <v>56</v>
      </c>
      <c r="E22" s="4" t="s">
        <v>185</v>
      </c>
      <c r="F22" s="5" t="s">
        <v>91</v>
      </c>
      <c r="G22" s="6">
        <v>1.0</v>
      </c>
      <c r="H22" s="4" t="s">
        <v>186</v>
      </c>
      <c r="I22" s="4" t="s">
        <v>91</v>
      </c>
      <c r="J22" s="4" t="s">
        <v>187</v>
      </c>
      <c r="K22" s="7">
        <v>9.416666666666666</v>
      </c>
      <c r="L22" s="7">
        <v>9.130434782608695</v>
      </c>
      <c r="M22" s="7">
        <v>10.0</v>
      </c>
      <c r="N22" s="7">
        <v>9.162666666666667</v>
      </c>
      <c r="O22" s="8">
        <f>ROUND(AVERAGE(K22:N22),2)</f>
        <v>9.43</v>
      </c>
      <c r="P22" s="4" t="s">
        <v>94</v>
      </c>
    </row>
    <row r="23" ht="73.5" customHeight="1">
      <c r="A23" s="2">
        <v>22</v>
      </c>
      <c r="B23" s="4" t="s">
        <v>188</v>
      </c>
      <c r="C23" s="3" t="s">
        <v>37</v>
      </c>
      <c r="D23" s="4" t="s">
        <v>71</v>
      </c>
      <c r="E23" s="4" t="s">
        <v>189</v>
      </c>
      <c r="F23" s="4" t="s">
        <v>190</v>
      </c>
      <c r="G23" s="6">
        <v>1.0</v>
      </c>
      <c r="H23" s="4" t="s">
        <v>191</v>
      </c>
      <c r="I23" s="4" t="s">
        <v>91</v>
      </c>
      <c r="J23" s="4" t="s">
        <v>192</v>
      </c>
      <c r="K23" s="7">
        <v>9.476744186046512</v>
      </c>
      <c r="L23" s="7">
        <v>10.0</v>
      </c>
      <c r="M23" s="7">
        <v>10.0</v>
      </c>
      <c r="N23" s="7">
        <v>8.326999999999998</v>
      </c>
      <c r="O23" s="8">
        <f>ROUND(AVERAGE(K23:N23),2)</f>
        <v>9.45</v>
      </c>
      <c r="P23" s="4" t="s">
        <v>193</v>
      </c>
    </row>
    <row r="24" ht="60" customHeight="1">
      <c r="A24" s="2">
        <v>23</v>
      </c>
      <c r="B24" s="4" t="s">
        <v>194</v>
      </c>
      <c r="C24" s="3" t="s">
        <v>37</v>
      </c>
      <c r="D24" s="4" t="s">
        <v>51</v>
      </c>
      <c r="E24" s="4" t="s">
        <v>102</v>
      </c>
      <c r="F24" s="5" t="s">
        <v>91</v>
      </c>
      <c r="G24" s="6">
        <v>0.0</v>
      </c>
      <c r="H24" s="4" t="s">
        <v>91</v>
      </c>
      <c r="I24" s="4" t="s">
        <v>195</v>
      </c>
      <c r="J24" s="4" t="s">
        <v>91</v>
      </c>
      <c r="K24" s="7">
        <v>0.4545454545454546</v>
      </c>
      <c r="L24" s="7">
        <v>0.0</v>
      </c>
      <c r="M24" s="7">
        <v>0.0</v>
      </c>
      <c r="N24" s="7">
        <v>2.5292</v>
      </c>
      <c r="O24" s="8">
        <f>ROUND(AVERAGE(K24:N24),2)</f>
        <v>0.75</v>
      </c>
      <c r="P24" s="4" t="s">
        <v>104</v>
      </c>
    </row>
    <row r="25" ht="60" customHeight="1">
      <c r="A25" s="2">
        <v>24</v>
      </c>
      <c r="B25" s="4" t="s">
        <v>196</v>
      </c>
      <c r="C25" s="3" t="s">
        <v>37</v>
      </c>
      <c r="D25" s="4" t="s">
        <v>59</v>
      </c>
      <c r="E25" s="4" t="s">
        <v>197</v>
      </c>
      <c r="F25" s="4" t="s">
        <v>198</v>
      </c>
      <c r="G25" s="6">
        <v>0.8866475744192666</v>
      </c>
      <c r="H25" s="4" t="s">
        <v>199</v>
      </c>
      <c r="I25" s="4" t="s">
        <v>200</v>
      </c>
      <c r="J25" s="4" t="s">
        <v>201</v>
      </c>
      <c r="K25" s="7">
        <v>8.617941914527478</v>
      </c>
      <c r="L25" s="7">
        <v>9.06819813988838</v>
      </c>
      <c r="M25" s="7">
        <v>8.625</v>
      </c>
      <c r="N25" s="7">
        <v>7.85</v>
      </c>
      <c r="O25" s="8">
        <f>ROUND(AVERAGE(K25:N25),2)</f>
        <v>8.54</v>
      </c>
      <c r="P25" s="4" t="s">
        <v>202</v>
      </c>
    </row>
    <row r="26" ht="73.5" customHeight="1">
      <c r="A26" s="2">
        <v>25</v>
      </c>
      <c r="B26" s="4" t="s">
        <v>203</v>
      </c>
      <c r="C26" s="3" t="s">
        <v>37</v>
      </c>
      <c r="D26" s="4" t="s">
        <v>54</v>
      </c>
      <c r="E26" s="4" t="s">
        <v>204</v>
      </c>
      <c r="F26" s="5" t="s">
        <v>91</v>
      </c>
      <c r="G26" s="6">
        <v>1.0</v>
      </c>
      <c r="H26" s="4" t="s">
        <v>205</v>
      </c>
      <c r="I26" s="4" t="s">
        <v>91</v>
      </c>
      <c r="J26" s="4" t="s">
        <v>206</v>
      </c>
      <c r="K26" s="7">
        <v>9.574468085106382</v>
      </c>
      <c r="L26" s="7">
        <v>9.487179487179487</v>
      </c>
      <c r="M26" s="7">
        <v>10.0</v>
      </c>
      <c r="N26" s="7">
        <v>8.534666666666666</v>
      </c>
      <c r="O26" s="8">
        <f>ROUND(AVERAGE(K26:N26),2)</f>
        <v>9.4</v>
      </c>
      <c r="P26" s="4" t="s">
        <v>94</v>
      </c>
    </row>
    <row r="27" ht="73.5" customHeight="1">
      <c r="A27" s="2">
        <v>26</v>
      </c>
      <c r="B27" s="4" t="s">
        <v>207</v>
      </c>
      <c r="C27" s="3" t="s">
        <v>37</v>
      </c>
      <c r="D27" s="4" t="s">
        <v>73</v>
      </c>
      <c r="E27" s="4" t="s">
        <v>208</v>
      </c>
      <c r="F27" s="5" t="s">
        <v>91</v>
      </c>
      <c r="G27" s="6">
        <v>1.0</v>
      </c>
      <c r="H27" s="4" t="s">
        <v>209</v>
      </c>
      <c r="I27" s="4" t="s">
        <v>91</v>
      </c>
      <c r="J27" s="4" t="s">
        <v>210</v>
      </c>
      <c r="K27" s="7">
        <v>9.476744186046512</v>
      </c>
      <c r="L27" s="7">
        <v>9.411764705882353</v>
      </c>
      <c r="M27" s="7">
        <v>9.911764705882353</v>
      </c>
      <c r="N27" s="7">
        <v>8.076</v>
      </c>
      <c r="O27" s="8">
        <f>ROUND(AVERAGE(K27:N27),2)</f>
        <v>9.22</v>
      </c>
      <c r="P27" s="4" t="s">
        <v>94</v>
      </c>
    </row>
    <row r="28" ht="60" customHeight="1">
      <c r="A28" s="2">
        <v>27</v>
      </c>
      <c r="B28" s="4" t="s">
        <v>211</v>
      </c>
      <c r="C28" s="3" t="s">
        <v>39</v>
      </c>
      <c r="D28" s="4" t="s">
        <v>58</v>
      </c>
      <c r="E28" s="4" t="s">
        <v>212</v>
      </c>
      <c r="F28" s="5" t="s">
        <v>91</v>
      </c>
      <c r="G28" s="6">
        <v>0.6382590070696035</v>
      </c>
      <c r="H28" s="4" t="s">
        <v>213</v>
      </c>
      <c r="I28" s="4" t="s">
        <v>214</v>
      </c>
      <c r="J28" s="4" t="s">
        <v>215</v>
      </c>
      <c r="K28" s="7">
        <v>5.975467143185961</v>
      </c>
      <c r="L28" s="7">
        <v>6.652605121600017</v>
      </c>
      <c r="M28" s="7">
        <v>10.0</v>
      </c>
      <c r="N28" s="7">
        <v>7.56</v>
      </c>
      <c r="O28" s="8">
        <f>ROUND(AVERAGE(K28:N28),2)</f>
        <v>7.55</v>
      </c>
      <c r="P28" s="4" t="s">
        <v>216</v>
      </c>
    </row>
    <row r="29" ht="73.5" customHeight="1">
      <c r="A29" s="2">
        <v>28</v>
      </c>
      <c r="B29" s="4" t="s">
        <v>217</v>
      </c>
      <c r="C29" s="3" t="s">
        <v>39</v>
      </c>
      <c r="D29" s="4" t="s">
        <v>52</v>
      </c>
      <c r="E29" s="4" t="s">
        <v>102</v>
      </c>
      <c r="F29" s="5" t="s">
        <v>91</v>
      </c>
      <c r="G29" s="6">
        <v>0.0</v>
      </c>
      <c r="H29" s="4" t="s">
        <v>91</v>
      </c>
      <c r="I29" s="4" t="s">
        <v>218</v>
      </c>
      <c r="J29" s="4" t="s">
        <v>91</v>
      </c>
      <c r="K29" s="7">
        <v>0.3191489361702127</v>
      </c>
      <c r="L29" s="7">
        <v>0.0</v>
      </c>
      <c r="M29" s="7">
        <v>0.0</v>
      </c>
      <c r="N29" s="7">
        <v>2.2970999999999995</v>
      </c>
      <c r="O29" s="8">
        <f>ROUND(AVERAGE(K29:N29),2)</f>
        <v>0.65</v>
      </c>
      <c r="P29" s="4" t="s">
        <v>219</v>
      </c>
    </row>
    <row r="30" ht="73.5" customHeight="1">
      <c r="A30" s="2">
        <v>29</v>
      </c>
      <c r="B30" s="4" t="s">
        <v>220</v>
      </c>
      <c r="C30" s="3" t="s">
        <v>39</v>
      </c>
      <c r="D30" s="4" t="s">
        <v>52</v>
      </c>
      <c r="E30" s="4" t="s">
        <v>221</v>
      </c>
      <c r="F30" s="4" t="s">
        <v>222</v>
      </c>
      <c r="G30" s="6">
        <v>0.8413795401480615</v>
      </c>
      <c r="H30" s="4" t="s">
        <v>223</v>
      </c>
      <c r="I30" s="4" t="s">
        <v>224</v>
      </c>
      <c r="J30" s="4" t="s">
        <v>225</v>
      </c>
      <c r="K30" s="7">
        <v>8.026032825620266</v>
      </c>
      <c r="L30" s="7">
        <v>8.291749222176035</v>
      </c>
      <c r="M30" s="7">
        <v>10.0</v>
      </c>
      <c r="N30" s="7">
        <v>8.651499999999999</v>
      </c>
      <c r="O30" s="8">
        <f>ROUND(AVERAGE(K30:N30),2)</f>
        <v>8.74</v>
      </c>
      <c r="P30" s="4" t="s">
        <v>111</v>
      </c>
    </row>
    <row r="31" ht="87" customHeight="1">
      <c r="A31" s="2">
        <v>30</v>
      </c>
      <c r="B31" s="4" t="s">
        <v>226</v>
      </c>
      <c r="C31" s="3" t="s">
        <v>39</v>
      </c>
      <c r="D31" s="4" t="s">
        <v>71</v>
      </c>
      <c r="E31" s="4" t="s">
        <v>227</v>
      </c>
      <c r="F31" s="5" t="s">
        <v>91</v>
      </c>
      <c r="G31" s="6">
        <v>0.970194360850868</v>
      </c>
      <c r="H31" s="4" t="s">
        <v>228</v>
      </c>
      <c r="I31" s="4" t="s">
        <v>119</v>
      </c>
      <c r="J31" s="4" t="s">
        <v>229</v>
      </c>
      <c r="K31" s="7">
        <v>9.250141916907825</v>
      </c>
      <c r="L31" s="7">
        <v>9.329927379479711</v>
      </c>
      <c r="M31" s="7">
        <v>10.0</v>
      </c>
      <c r="N31" s="7">
        <v>8.462</v>
      </c>
      <c r="O31" s="8">
        <f>ROUND(AVERAGE(K31:N31),2)</f>
        <v>9.26</v>
      </c>
      <c r="P31" s="4" t="s">
        <v>94</v>
      </c>
    </row>
    <row r="32" ht="73.5" customHeight="1">
      <c r="A32" s="2">
        <v>31</v>
      </c>
      <c r="B32" s="4" t="s">
        <v>230</v>
      </c>
      <c r="C32" s="3" t="s">
        <v>39</v>
      </c>
      <c r="D32" s="4" t="s">
        <v>71</v>
      </c>
      <c r="E32" s="4" t="s">
        <v>231</v>
      </c>
      <c r="F32" s="5" t="s">
        <v>91</v>
      </c>
      <c r="G32" s="6">
        <v>1.0</v>
      </c>
      <c r="H32" s="4" t="s">
        <v>232</v>
      </c>
      <c r="I32" s="4" t="s">
        <v>91</v>
      </c>
      <c r="J32" s="4" t="s">
        <v>233</v>
      </c>
      <c r="K32" s="7">
        <v>9.427083333333334</v>
      </c>
      <c r="L32" s="7">
        <v>9.45945945945946</v>
      </c>
      <c r="M32" s="7">
        <v>10.0</v>
      </c>
      <c r="N32" s="7">
        <v>7.506666666666666</v>
      </c>
      <c r="O32" s="8">
        <f>ROUND(AVERAGE(K32:N32),2)</f>
        <v>9.1</v>
      </c>
      <c r="P32" s="4" t="s">
        <v>234</v>
      </c>
    </row>
    <row r="33" ht="46.5" customHeight="1">
      <c r="A33" s="2">
        <v>32</v>
      </c>
      <c r="B33" s="4" t="s">
        <v>235</v>
      </c>
      <c r="C33" s="3" t="s">
        <v>39</v>
      </c>
      <c r="D33" s="4" t="s">
        <v>53</v>
      </c>
      <c r="E33" s="4" t="s">
        <v>236</v>
      </c>
      <c r="F33" s="5" t="s">
        <v>91</v>
      </c>
      <c r="G33" s="6">
        <v>0.5554699191634478</v>
      </c>
      <c r="H33" s="4" t="s">
        <v>237</v>
      </c>
      <c r="I33" s="4" t="s">
        <v>238</v>
      </c>
      <c r="J33" s="4" t="s">
        <v>239</v>
      </c>
      <c r="K33" s="7">
        <v>5.0333713325013685</v>
      </c>
      <c r="L33" s="7">
        <v>6.911330400768233</v>
      </c>
      <c r="M33" s="7">
        <v>7.250000000000001</v>
      </c>
      <c r="N33" s="7">
        <v>9.156333333333333</v>
      </c>
      <c r="O33" s="8">
        <f>ROUND(AVERAGE(K33:N33),2)</f>
        <v>7.09</v>
      </c>
      <c r="P33" s="4" t="s">
        <v>94</v>
      </c>
    </row>
    <row r="34" ht="60" customHeight="1">
      <c r="A34" s="2">
        <v>33</v>
      </c>
      <c r="B34" s="4" t="s">
        <v>240</v>
      </c>
      <c r="C34" s="3" t="s">
        <v>39</v>
      </c>
      <c r="D34" s="4" t="s">
        <v>53</v>
      </c>
      <c r="E34" s="4" t="s">
        <v>102</v>
      </c>
      <c r="F34" s="5" t="s">
        <v>91</v>
      </c>
      <c r="G34" s="6">
        <v>0.0</v>
      </c>
      <c r="H34" s="4" t="s">
        <v>91</v>
      </c>
      <c r="I34" s="4" t="s">
        <v>241</v>
      </c>
      <c r="J34" s="4" t="s">
        <v>91</v>
      </c>
      <c r="K34" s="7">
        <v>0.2830188679245283</v>
      </c>
      <c r="L34" s="7">
        <v>0.0</v>
      </c>
      <c r="M34" s="7">
        <v>0.0</v>
      </c>
      <c r="N34" s="7">
        <v>2.5323999999999995</v>
      </c>
      <c r="O34" s="8">
        <f>ROUND(AVERAGE(K34:N34),2)</f>
        <v>0.7</v>
      </c>
      <c r="P34" s="4" t="s">
        <v>104</v>
      </c>
    </row>
    <row r="35" ht="73.5" customHeight="1">
      <c r="A35" s="2">
        <v>34</v>
      </c>
      <c r="B35" s="4" t="s">
        <v>242</v>
      </c>
      <c r="C35" s="3" t="s">
        <v>39</v>
      </c>
      <c r="D35" s="4" t="s">
        <v>69</v>
      </c>
      <c r="E35" s="4" t="s">
        <v>243</v>
      </c>
      <c r="F35" s="4" t="s">
        <v>244</v>
      </c>
      <c r="G35" s="6">
        <v>0.8358405673815329</v>
      </c>
      <c r="H35" s="4" t="s">
        <v>245</v>
      </c>
      <c r="I35" s="4" t="s">
        <v>246</v>
      </c>
      <c r="J35" s="4" t="s">
        <v>247</v>
      </c>
      <c r="K35" s="7">
        <v>7.886451314185026</v>
      </c>
      <c r="L35" s="7">
        <v>9.168704798540283</v>
      </c>
      <c r="M35" s="7">
        <v>10.0</v>
      </c>
      <c r="N35" s="7">
        <v>8.536</v>
      </c>
      <c r="O35" s="8">
        <f>ROUND(AVERAGE(K35:N35),2)</f>
        <v>8.9</v>
      </c>
      <c r="P35" s="4" t="s">
        <v>248</v>
      </c>
    </row>
    <row r="36" ht="87" customHeight="1">
      <c r="A36" s="2">
        <v>35</v>
      </c>
      <c r="B36" s="4" t="s">
        <v>249</v>
      </c>
      <c r="C36" s="3" t="s">
        <v>39</v>
      </c>
      <c r="D36" s="4" t="s">
        <v>69</v>
      </c>
      <c r="E36" s="4" t="s">
        <v>250</v>
      </c>
      <c r="F36" s="5" t="s">
        <v>91</v>
      </c>
      <c r="G36" s="6">
        <v>1.0</v>
      </c>
      <c r="H36" s="4" t="s">
        <v>251</v>
      </c>
      <c r="I36" s="4" t="s">
        <v>91</v>
      </c>
      <c r="J36" s="4" t="s">
        <v>252</v>
      </c>
      <c r="K36" s="7">
        <v>9.517543859649123</v>
      </c>
      <c r="L36" s="7">
        <v>9.565217391304348</v>
      </c>
      <c r="M36" s="7">
        <v>10.0</v>
      </c>
      <c r="N36" s="7">
        <v>9.097333333333335</v>
      </c>
      <c r="O36" s="8">
        <f>ROUND(AVERAGE(K36:N36),2)</f>
        <v>9.55</v>
      </c>
      <c r="P36" s="4" t="s">
        <v>94</v>
      </c>
    </row>
    <row r="37" ht="73.5" customHeight="1">
      <c r="A37" s="2">
        <v>36</v>
      </c>
      <c r="B37" s="4" t="s">
        <v>253</v>
      </c>
      <c r="C37" s="3" t="s">
        <v>39</v>
      </c>
      <c r="D37" s="4" t="s">
        <v>66</v>
      </c>
      <c r="E37" s="4" t="s">
        <v>254</v>
      </c>
      <c r="F37" s="5" t="s">
        <v>91</v>
      </c>
      <c r="G37" s="6">
        <v>1.0</v>
      </c>
      <c r="H37" s="4" t="s">
        <v>255</v>
      </c>
      <c r="I37" s="4" t="s">
        <v>91</v>
      </c>
      <c r="J37" s="4" t="s">
        <v>256</v>
      </c>
      <c r="K37" s="7">
        <v>9.46078431372549</v>
      </c>
      <c r="L37" s="7">
        <v>9.5</v>
      </c>
      <c r="M37" s="7">
        <v>9.25</v>
      </c>
      <c r="N37" s="7">
        <v>8.225</v>
      </c>
      <c r="O37" s="8">
        <f>ROUND(AVERAGE(K37:N37),2)</f>
        <v>9.11</v>
      </c>
      <c r="P37" s="4" t="s">
        <v>94</v>
      </c>
    </row>
    <row r="38" ht="73.5" customHeight="1">
      <c r="A38" s="2">
        <v>37</v>
      </c>
      <c r="B38" s="4" t="s">
        <v>257</v>
      </c>
      <c r="C38" s="3" t="s">
        <v>39</v>
      </c>
      <c r="D38" s="4" t="s">
        <v>68</v>
      </c>
      <c r="E38" s="4" t="s">
        <v>258</v>
      </c>
      <c r="F38" s="4" t="s">
        <v>259</v>
      </c>
      <c r="G38" s="6">
        <v>0.8138540157177054</v>
      </c>
      <c r="H38" s="4" t="s">
        <v>260</v>
      </c>
      <c r="I38" s="4" t="s">
        <v>261</v>
      </c>
      <c r="J38" s="4" t="s">
        <v>262</v>
      </c>
      <c r="K38" s="7">
        <v>8.012996026973699</v>
      </c>
      <c r="L38" s="7">
        <v>7.842279189840404</v>
      </c>
      <c r="M38" s="7">
        <v>10.0</v>
      </c>
      <c r="N38" s="7">
        <v>8.467833333333333</v>
      </c>
      <c r="O38" s="8">
        <f>ROUND(AVERAGE(K38:N38),2)</f>
        <v>8.58</v>
      </c>
      <c r="P38" s="4" t="s">
        <v>111</v>
      </c>
    </row>
    <row r="39" ht="73.5" customHeight="1">
      <c r="A39" s="2">
        <v>38</v>
      </c>
      <c r="B39" s="4" t="s">
        <v>263</v>
      </c>
      <c r="C39" s="3" t="s">
        <v>39</v>
      </c>
      <c r="D39" s="4" t="s">
        <v>54</v>
      </c>
      <c r="E39" s="4" t="s">
        <v>102</v>
      </c>
      <c r="F39" s="5" t="s">
        <v>91</v>
      </c>
      <c r="G39" s="6">
        <v>0.0</v>
      </c>
      <c r="H39" s="4" t="s">
        <v>91</v>
      </c>
      <c r="I39" s="4" t="s">
        <v>264</v>
      </c>
      <c r="J39" s="4" t="s">
        <v>91</v>
      </c>
      <c r="K39" s="7">
        <v>0.2884615384615385</v>
      </c>
      <c r="L39" s="7">
        <v>0.0</v>
      </c>
      <c r="M39" s="7">
        <v>0.0</v>
      </c>
      <c r="N39" s="7">
        <v>2.2174</v>
      </c>
      <c r="O39" s="8">
        <f>ROUND(AVERAGE(K39:N39),2)</f>
        <v>0.63</v>
      </c>
      <c r="P39" s="4" t="s">
        <v>129</v>
      </c>
    </row>
    <row r="40" ht="73.5" customHeight="1">
      <c r="A40" s="2">
        <v>39</v>
      </c>
      <c r="B40" s="4" t="s">
        <v>265</v>
      </c>
      <c r="C40" s="3" t="s">
        <v>39</v>
      </c>
      <c r="D40" s="4" t="s">
        <v>61</v>
      </c>
      <c r="E40" s="4" t="s">
        <v>266</v>
      </c>
      <c r="F40" s="4" t="s">
        <v>267</v>
      </c>
      <c r="G40" s="6">
        <v>0.7868663716435914</v>
      </c>
      <c r="H40" s="4" t="s">
        <v>268</v>
      </c>
      <c r="I40" s="4" t="s">
        <v>269</v>
      </c>
      <c r="J40" s="4" t="s">
        <v>270</v>
      </c>
      <c r="K40" s="7">
        <v>7.687212073041222</v>
      </c>
      <c r="L40" s="7">
        <v>7.717214765903058</v>
      </c>
      <c r="M40" s="7">
        <v>10.0</v>
      </c>
      <c r="N40" s="7">
        <v>9.2525</v>
      </c>
      <c r="O40" s="8">
        <f>ROUND(AVERAGE(K40:N40),2)</f>
        <v>8.66</v>
      </c>
      <c r="P40" s="4" t="s">
        <v>111</v>
      </c>
    </row>
    <row r="41" ht="100.5" customHeight="1">
      <c r="A41" s="2">
        <v>40</v>
      </c>
      <c r="B41" s="4" t="s">
        <v>271</v>
      </c>
      <c r="C41" s="3" t="s">
        <v>41</v>
      </c>
      <c r="D41" s="4" t="s">
        <v>68</v>
      </c>
      <c r="E41" s="4" t="s">
        <v>272</v>
      </c>
      <c r="F41" s="5" t="s">
        <v>91</v>
      </c>
      <c r="G41" s="6">
        <v>1.0</v>
      </c>
      <c r="H41" s="4" t="s">
        <v>273</v>
      </c>
      <c r="I41" s="4" t="s">
        <v>91</v>
      </c>
      <c r="J41" s="4" t="s">
        <v>274</v>
      </c>
      <c r="K41" s="7">
        <v>9.449152542372882</v>
      </c>
      <c r="L41" s="7">
        <v>9.565217391304348</v>
      </c>
      <c r="M41" s="7">
        <v>10.0</v>
      </c>
      <c r="N41" s="7">
        <v>9.850666666666665</v>
      </c>
      <c r="O41" s="8">
        <f>ROUND(AVERAGE(K41:N41),2)</f>
        <v>9.72</v>
      </c>
      <c r="P41" s="4" t="s">
        <v>94</v>
      </c>
    </row>
    <row r="42" ht="87" customHeight="1">
      <c r="A42" s="2">
        <v>41</v>
      </c>
      <c r="B42" s="4" t="s">
        <v>275</v>
      </c>
      <c r="C42" s="3" t="s">
        <v>41</v>
      </c>
      <c r="D42" s="4" t="s">
        <v>55</v>
      </c>
      <c r="E42" s="4" t="s">
        <v>276</v>
      </c>
      <c r="F42" s="5" t="s">
        <v>91</v>
      </c>
      <c r="G42" s="6">
        <v>1.0</v>
      </c>
      <c r="H42" s="4" t="s">
        <v>277</v>
      </c>
      <c r="I42" s="4" t="s">
        <v>91</v>
      </c>
      <c r="J42" s="4" t="s">
        <v>278</v>
      </c>
      <c r="K42" s="7">
        <v>9.5</v>
      </c>
      <c r="L42" s="7">
        <v>9.545454545454547</v>
      </c>
      <c r="M42" s="7">
        <v>10.0</v>
      </c>
      <c r="N42" s="7">
        <v>8.069666666666667</v>
      </c>
      <c r="O42" s="8">
        <f>ROUND(AVERAGE(K42:N42),2)</f>
        <v>9.28</v>
      </c>
      <c r="P42" s="4" t="s">
        <v>94</v>
      </c>
    </row>
    <row r="43" ht="73.5" customHeight="1">
      <c r="A43" s="2">
        <v>42</v>
      </c>
      <c r="B43" s="4" t="s">
        <v>279</v>
      </c>
      <c r="C43" s="3" t="s">
        <v>41</v>
      </c>
      <c r="D43" s="4" t="s">
        <v>55</v>
      </c>
      <c r="E43" s="4" t="s">
        <v>280</v>
      </c>
      <c r="F43" s="4" t="s">
        <v>281</v>
      </c>
      <c r="G43" s="6">
        <v>1.0</v>
      </c>
      <c r="H43" s="4" t="s">
        <v>282</v>
      </c>
      <c r="I43" s="4" t="s">
        <v>91</v>
      </c>
      <c r="J43" s="4" t="s">
        <v>283</v>
      </c>
      <c r="K43" s="7">
        <v>9.491525423728813</v>
      </c>
      <c r="L43" s="7">
        <v>10.0</v>
      </c>
      <c r="M43" s="7">
        <v>10.0</v>
      </c>
      <c r="N43" s="7">
        <v>8.831666666666665</v>
      </c>
      <c r="O43" s="8">
        <f>ROUND(AVERAGE(K43:N43),2)</f>
        <v>9.58</v>
      </c>
      <c r="P43" s="4" t="s">
        <v>111</v>
      </c>
    </row>
    <row r="44" ht="73.5" customHeight="1">
      <c r="A44" s="2">
        <v>43</v>
      </c>
      <c r="B44" s="4" t="s">
        <v>284</v>
      </c>
      <c r="C44" s="3" t="s">
        <v>41</v>
      </c>
      <c r="D44" s="4" t="s">
        <v>55</v>
      </c>
      <c r="E44" s="4" t="s">
        <v>102</v>
      </c>
      <c r="F44" s="5" t="s">
        <v>91</v>
      </c>
      <c r="G44" s="6">
        <v>0.0</v>
      </c>
      <c r="H44" s="4" t="s">
        <v>91</v>
      </c>
      <c r="I44" s="4" t="s">
        <v>285</v>
      </c>
      <c r="J44" s="4" t="s">
        <v>91</v>
      </c>
      <c r="K44" s="7">
        <v>0.2631578947368421</v>
      </c>
      <c r="L44" s="7">
        <v>0.0</v>
      </c>
      <c r="M44" s="7">
        <v>0.0</v>
      </c>
      <c r="N44" s="7">
        <v>3.0</v>
      </c>
      <c r="O44" s="8">
        <f>ROUND(AVERAGE(K44:N44),2)</f>
        <v>0.82</v>
      </c>
      <c r="P44" s="4" t="s">
        <v>104</v>
      </c>
    </row>
    <row r="45" ht="73.5" customHeight="1">
      <c r="A45" s="2">
        <v>44</v>
      </c>
      <c r="B45" s="4" t="s">
        <v>286</v>
      </c>
      <c r="C45" s="3" t="s">
        <v>41</v>
      </c>
      <c r="D45" s="4" t="s">
        <v>72</v>
      </c>
      <c r="E45" s="4" t="s">
        <v>287</v>
      </c>
      <c r="F45" s="4" t="s">
        <v>288</v>
      </c>
      <c r="G45" s="6">
        <v>0.9266912711689553</v>
      </c>
      <c r="H45" s="4" t="s">
        <v>289</v>
      </c>
      <c r="I45" s="4" t="s">
        <v>290</v>
      </c>
      <c r="J45" s="4" t="s">
        <v>291</v>
      </c>
      <c r="K45" s="7">
        <v>8.735898819481452</v>
      </c>
      <c r="L45" s="7">
        <v>9.175852416069725</v>
      </c>
      <c r="M45" s="7">
        <v>10.0</v>
      </c>
      <c r="N45" s="7">
        <v>9.391833333333333</v>
      </c>
      <c r="O45" s="8">
        <f>ROUND(AVERAGE(K45:N45),2)</f>
        <v>9.33</v>
      </c>
      <c r="P45" s="4" t="s">
        <v>111</v>
      </c>
    </row>
    <row r="46" ht="87" customHeight="1">
      <c r="A46" s="2">
        <v>45</v>
      </c>
      <c r="B46" s="4" t="s">
        <v>292</v>
      </c>
      <c r="C46" s="3" t="s">
        <v>41</v>
      </c>
      <c r="D46" s="4" t="s">
        <v>73</v>
      </c>
      <c r="E46" s="4" t="s">
        <v>293</v>
      </c>
      <c r="F46" s="5" t="s">
        <v>91</v>
      </c>
      <c r="G46" s="6">
        <v>1.0</v>
      </c>
      <c r="H46" s="4" t="s">
        <v>294</v>
      </c>
      <c r="I46" s="4" t="s">
        <v>91</v>
      </c>
      <c r="J46" s="4" t="s">
        <v>295</v>
      </c>
      <c r="K46" s="7">
        <v>9.549180327868852</v>
      </c>
      <c r="L46" s="7">
        <v>9.6</v>
      </c>
      <c r="M46" s="7">
        <v>10.0</v>
      </c>
      <c r="N46" s="7">
        <v>9.174</v>
      </c>
      <c r="O46" s="8">
        <f>ROUND(AVERAGE(K46:N46),2)</f>
        <v>9.58</v>
      </c>
      <c r="P46" s="4" t="s">
        <v>94</v>
      </c>
    </row>
    <row r="47" ht="73.5" customHeight="1">
      <c r="A47" s="2">
        <v>46</v>
      </c>
      <c r="B47" s="4" t="s">
        <v>296</v>
      </c>
      <c r="C47" s="3" t="s">
        <v>41</v>
      </c>
      <c r="D47" s="4" t="s">
        <v>68</v>
      </c>
      <c r="E47" s="4" t="s">
        <v>297</v>
      </c>
      <c r="F47" s="5" t="s">
        <v>91</v>
      </c>
      <c r="G47" s="6">
        <v>1.0</v>
      </c>
      <c r="H47" s="4" t="s">
        <v>298</v>
      </c>
      <c r="I47" s="4" t="s">
        <v>91</v>
      </c>
      <c r="J47" s="4" t="s">
        <v>299</v>
      </c>
      <c r="K47" s="7">
        <v>9.46078431372549</v>
      </c>
      <c r="L47" s="7">
        <v>9.5</v>
      </c>
      <c r="M47" s="7">
        <v>9.25</v>
      </c>
      <c r="N47" s="7">
        <v>8.431000000000001</v>
      </c>
      <c r="O47" s="8">
        <f>ROUND(AVERAGE(K47:N47),2)</f>
        <v>9.16</v>
      </c>
      <c r="P47" s="4" t="s">
        <v>94</v>
      </c>
    </row>
    <row r="48" ht="73.5" customHeight="1">
      <c r="A48" s="2">
        <v>47</v>
      </c>
      <c r="B48" s="4" t="s">
        <v>300</v>
      </c>
      <c r="C48" s="3" t="s">
        <v>41</v>
      </c>
      <c r="D48" s="4" t="s">
        <v>70</v>
      </c>
      <c r="E48" s="4" t="s">
        <v>301</v>
      </c>
      <c r="F48" s="4" t="s">
        <v>302</v>
      </c>
      <c r="G48" s="6">
        <v>1.0</v>
      </c>
      <c r="H48" s="4" t="s">
        <v>303</v>
      </c>
      <c r="I48" s="4" t="s">
        <v>91</v>
      </c>
      <c r="J48" s="4" t="s">
        <v>304</v>
      </c>
      <c r="K48" s="7">
        <v>9.46078431372549</v>
      </c>
      <c r="L48" s="7">
        <v>10.0</v>
      </c>
      <c r="M48" s="7">
        <v>10.0</v>
      </c>
      <c r="N48" s="7">
        <v>7.6243333333333325</v>
      </c>
      <c r="O48" s="8">
        <f>ROUND(AVERAGE(K48:N48),2)</f>
        <v>9.27</v>
      </c>
      <c r="P48" s="4" t="s">
        <v>305</v>
      </c>
    </row>
    <row r="49" ht="73.5" customHeight="1">
      <c r="A49" s="2">
        <v>48</v>
      </c>
      <c r="B49" s="4" t="s">
        <v>306</v>
      </c>
      <c r="C49" s="3" t="s">
        <v>41</v>
      </c>
      <c r="D49" s="4" t="s">
        <v>49</v>
      </c>
      <c r="E49" s="4" t="s">
        <v>102</v>
      </c>
      <c r="F49" s="5" t="s">
        <v>91</v>
      </c>
      <c r="G49" s="6">
        <v>0.0</v>
      </c>
      <c r="H49" s="4" t="s">
        <v>91</v>
      </c>
      <c r="I49" s="4" t="s">
        <v>307</v>
      </c>
      <c r="J49" s="4" t="s">
        <v>91</v>
      </c>
      <c r="K49" s="7">
        <v>0.24193548387096775</v>
      </c>
      <c r="L49" s="7">
        <v>0.0</v>
      </c>
      <c r="M49" s="7">
        <v>0.0</v>
      </c>
      <c r="N49" s="7">
        <v>2.3843</v>
      </c>
      <c r="O49" s="8">
        <f>ROUND(AVERAGE(K49:N49),2)</f>
        <v>0.66</v>
      </c>
      <c r="P49" s="4" t="s">
        <v>104</v>
      </c>
    </row>
    <row r="50" ht="87" customHeight="1">
      <c r="A50" s="2">
        <v>49</v>
      </c>
      <c r="B50" s="4" t="s">
        <v>308</v>
      </c>
      <c r="C50" s="3" t="s">
        <v>41</v>
      </c>
      <c r="D50" s="4" t="s">
        <v>67</v>
      </c>
      <c r="E50" s="4" t="s">
        <v>309</v>
      </c>
      <c r="F50" s="4" t="s">
        <v>310</v>
      </c>
      <c r="G50" s="6">
        <v>0.8949385835275278</v>
      </c>
      <c r="H50" s="4" t="s">
        <v>311</v>
      </c>
      <c r="I50" s="4" t="s">
        <v>312</v>
      </c>
      <c r="J50" s="4" t="s">
        <v>313</v>
      </c>
      <c r="K50" s="7">
        <v>8.432818597235679</v>
      </c>
      <c r="L50" s="7">
        <v>9.15206481825229</v>
      </c>
      <c r="M50" s="7">
        <v>10.0</v>
      </c>
      <c r="N50" s="7">
        <v>8.895833333333334</v>
      </c>
      <c r="O50" s="8">
        <f>ROUND(AVERAGE(K50:N50),2)</f>
        <v>9.12</v>
      </c>
      <c r="P50" s="4" t="s">
        <v>111</v>
      </c>
    </row>
    <row r="51" ht="87" customHeight="1">
      <c r="A51" s="2">
        <v>50</v>
      </c>
      <c r="B51" s="4" t="s">
        <v>314</v>
      </c>
      <c r="C51" s="3" t="s">
        <v>41</v>
      </c>
      <c r="D51" s="4" t="s">
        <v>64</v>
      </c>
      <c r="E51" s="4" t="s">
        <v>315</v>
      </c>
      <c r="F51" s="5" t="s">
        <v>91</v>
      </c>
      <c r="G51" s="6">
        <v>1.0</v>
      </c>
      <c r="H51" s="4" t="s">
        <v>316</v>
      </c>
      <c r="I51" s="4" t="s">
        <v>91</v>
      </c>
      <c r="J51" s="4" t="s">
        <v>317</v>
      </c>
      <c r="K51" s="7">
        <v>9.454545454545455</v>
      </c>
      <c r="L51" s="7">
        <v>9.534883720930234</v>
      </c>
      <c r="M51" s="7">
        <v>10.0</v>
      </c>
      <c r="N51" s="7">
        <v>7.2443333333333335</v>
      </c>
      <c r="O51" s="8">
        <f>ROUND(AVERAGE(K51:N51),2)</f>
        <v>9.06</v>
      </c>
      <c r="P51" s="4" t="s">
        <v>161</v>
      </c>
    </row>
  </sheetData>
  <autoFilter ref="A1:P51"/>
  <conditionalFormatting sqref="K2:O51">
    <cfRule type="colorScale" priority="1">
      <colorScale>
        <cfvo type="num" val="0"/>
        <cfvo type="num" val="5"/>
        <cfvo type="num" val="10"/>
        <color rgb="FFF8696B"/>
        <color rgb="FFFFEB84"/>
        <color rgb="FF63BE7B"/>
      </colorScale>
    </cfRule>
  </conditionalFormatting>
  <conditionalFormatting sqref="G2:G51">
    <cfRule type="colorScale" priority="2">
      <colorScale>
        <cfvo type="num" val="0"/>
        <cfvo type="num" val="0.4"/>
        <cfvo type="num" val="1"/>
        <color rgb="FFF8696B"/>
        <color rgb="FFFFEB84"/>
        <color rgb="FF63BE7B"/>
      </colorScale>
    </cfRule>
  </conditionalFormatting>
  <pageMargins left="0.5" right="0.5" top="0.6" bottom="0.6" header="0.3" footer="0.3"/>
  <pageSetup paperSize="9" orientation="landscape" fitToHeight="0"/>
</worksheet>
</file>

<file path=xl/worksheets/sheet3.xml><?xml version="1.0" encoding="utf-8"?>
<worksheet xmlns="http://schemas.openxmlformats.org/spreadsheetml/2006/main" xmlns:r="http://schemas.openxmlformats.org/officeDocument/2006/relationships">
  <sheetPr>
    <tabColor rgb="FF548235"/>
    <pageSetUpPr fitToPage="1"/>
  </sheetPr>
  <dimension ref="A1:K131"/>
  <sheetViews>
    <sheetView workbookViewId="0">
      <pane ySplit="1" topLeftCell="A2" activePane="bottomLeft" state="frozen"/>
      <selection pane="bottomLeft"/>
    </sheetView>
  </sheetViews>
  <sheetFormatPr defaultRowHeight="15"/>
  <cols>
    <col min="1" max="1" width="10.71" customWidth="1"/>
    <col min="2" max="2" width="13.71" customWidth="1"/>
    <col min="3" max="3" width="17.71" customWidth="1"/>
    <col min="4" max="4" width="90.71" customWidth="1"/>
    <col min="5" max="5" width="8.71" customWidth="1"/>
    <col min="6" max="6" width="13.71" customWidth="1"/>
    <col min="7" max="7" width="11.71" customWidth="1"/>
    <col min="8" max="8" width="11.71" customWidth="1"/>
    <col min="9" max="9" width="15.71" customWidth="1"/>
    <col min="10" max="10" width="12.71" customWidth="1"/>
    <col min="11" max="11" width="40.71" customWidth="1"/>
  </cols>
  <sheetData>
    <row r="1" ht="34" customHeight="1">
      <c r="A1" s="1" t="s">
        <v>318</v>
      </c>
      <c r="B1" s="1" t="s">
        <v>319</v>
      </c>
      <c r="C1" s="1" t="s">
        <v>320</v>
      </c>
      <c r="D1" s="1" t="s">
        <v>321</v>
      </c>
      <c r="E1" s="1" t="s">
        <v>322</v>
      </c>
      <c r="F1" s="1" t="s">
        <v>323</v>
      </c>
      <c r="G1" s="1" t="s">
        <v>324</v>
      </c>
      <c r="H1" s="1" t="s">
        <v>325</v>
      </c>
      <c r="I1" s="1" t="s">
        <v>326</v>
      </c>
      <c r="J1" s="1" t="s">
        <v>327</v>
      </c>
      <c r="K1" s="1" t="s">
        <v>328</v>
      </c>
    </row>
    <row r="2" ht="20" customHeight="1">
      <c r="A2" s="3" t="s">
        <v>329</v>
      </c>
      <c r="B2" s="22" t="s">
        <v>330</v>
      </c>
      <c r="C2" s="22" t="s">
        <v>331</v>
      </c>
      <c r="D2" s="22" t="s">
        <v>89</v>
      </c>
      <c r="E2" s="22" t="s">
        <v>332</v>
      </c>
      <c r="F2" s="22" t="s">
        <v>332</v>
      </c>
      <c r="G2" s="22" t="s">
        <v>332</v>
      </c>
      <c r="H2" s="22" t="s">
        <v>332</v>
      </c>
      <c r="I2" s="22" t="s">
        <v>332</v>
      </c>
      <c r="J2" s="22" t="s">
        <v>332</v>
      </c>
      <c r="K2" s="22" t="s">
        <v>332</v>
      </c>
    </row>
    <row r="3" ht="46.5" customHeight="1">
      <c r="A3" s="3" t="s">
        <v>333</v>
      </c>
      <c r="B3" s="23" t="s">
        <v>2</v>
      </c>
      <c r="C3" s="23" t="s">
        <v>334</v>
      </c>
      <c r="D3" s="23" t="s">
        <v>90</v>
      </c>
      <c r="E3" s="2">
        <v>36</v>
      </c>
      <c r="F3" s="24">
        <v>6.236</v>
      </c>
      <c r="G3" s="24">
        <v>20.046</v>
      </c>
      <c r="H3" s="2">
        <v>108</v>
      </c>
      <c r="I3" s="3" t="s">
        <v>335</v>
      </c>
      <c r="J3" s="6">
        <v>1.0</v>
      </c>
      <c r="K3" s="4" t="s">
        <v>336</v>
      </c>
    </row>
    <row r="4" ht="20" customHeight="1">
      <c r="A4" s="3" t="s">
        <v>333</v>
      </c>
      <c r="B4" s="22" t="s">
        <v>330</v>
      </c>
      <c r="C4" s="22" t="s">
        <v>337</v>
      </c>
      <c r="D4" s="22" t="s">
        <v>95</v>
      </c>
      <c r="E4" s="22" t="s">
        <v>332</v>
      </c>
      <c r="F4" s="22" t="s">
        <v>332</v>
      </c>
      <c r="G4" s="22" t="s">
        <v>332</v>
      </c>
      <c r="H4" s="22" t="s">
        <v>332</v>
      </c>
      <c r="I4" s="22" t="s">
        <v>332</v>
      </c>
      <c r="J4" s="22" t="s">
        <v>332</v>
      </c>
      <c r="K4" s="22" t="s">
        <v>332</v>
      </c>
    </row>
    <row r="5" ht="33" customHeight="1">
      <c r="A5" s="3" t="s">
        <v>333</v>
      </c>
      <c r="B5" s="23" t="s">
        <v>2</v>
      </c>
      <c r="C5" s="23" t="s">
        <v>334</v>
      </c>
      <c r="D5" s="23" t="s">
        <v>96</v>
      </c>
      <c r="E5" s="2">
        <v>16</v>
      </c>
      <c r="F5" s="24">
        <v>8.485</v>
      </c>
      <c r="G5" s="24">
        <v>6.304</v>
      </c>
      <c r="H5" s="2">
        <v>152</v>
      </c>
      <c r="I5" s="3" t="s">
        <v>335</v>
      </c>
      <c r="J5" s="6">
        <v>0.39683700153558804</v>
      </c>
      <c r="K5" s="4" t="s">
        <v>338</v>
      </c>
    </row>
    <row r="6" ht="20" customHeight="1">
      <c r="A6" s="3" t="s">
        <v>333</v>
      </c>
      <c r="B6" s="22" t="s">
        <v>330</v>
      </c>
      <c r="C6" s="22" t="s">
        <v>339</v>
      </c>
      <c r="D6" s="22" t="s">
        <v>340</v>
      </c>
      <c r="E6" s="22" t="s">
        <v>332</v>
      </c>
      <c r="F6" s="22" t="s">
        <v>332</v>
      </c>
      <c r="G6" s="22" t="s">
        <v>332</v>
      </c>
      <c r="H6" s="22" t="s">
        <v>332</v>
      </c>
      <c r="I6" s="22" t="s">
        <v>332</v>
      </c>
      <c r="J6" s="22" t="s">
        <v>332</v>
      </c>
      <c r="K6" s="22" t="s">
        <v>332</v>
      </c>
    </row>
    <row r="7" ht="33" customHeight="1">
      <c r="A7" s="3" t="s">
        <v>333</v>
      </c>
      <c r="B7" s="23" t="s">
        <v>2</v>
      </c>
      <c r="C7" s="23" t="s">
        <v>334</v>
      </c>
      <c r="D7" s="23" t="s">
        <v>341</v>
      </c>
      <c r="E7" s="2">
        <v>16</v>
      </c>
      <c r="F7" s="24">
        <v>9.38</v>
      </c>
      <c r="G7" s="24">
        <v>5.664</v>
      </c>
      <c r="H7" s="2">
        <v>169</v>
      </c>
      <c r="I7" s="3" t="s">
        <v>335</v>
      </c>
      <c r="J7" s="6">
        <v>1.0</v>
      </c>
      <c r="K7" s="4" t="s">
        <v>336</v>
      </c>
    </row>
    <row r="8" ht="20" customHeight="1">
      <c r="A8" s="3" t="s">
        <v>333</v>
      </c>
      <c r="B8" s="22" t="s">
        <v>330</v>
      </c>
      <c r="C8" s="22" t="s">
        <v>342</v>
      </c>
      <c r="D8" s="22" t="s">
        <v>101</v>
      </c>
      <c r="E8" s="22" t="s">
        <v>332</v>
      </c>
      <c r="F8" s="22" t="s">
        <v>332</v>
      </c>
      <c r="G8" s="22" t="s">
        <v>332</v>
      </c>
      <c r="H8" s="22" t="s">
        <v>332</v>
      </c>
      <c r="I8" s="22" t="s">
        <v>332</v>
      </c>
      <c r="J8" s="22" t="s">
        <v>332</v>
      </c>
      <c r="K8" s="22" t="s">
        <v>332</v>
      </c>
    </row>
    <row r="9" ht="33" customHeight="1">
      <c r="A9" s="3" t="s">
        <v>333</v>
      </c>
      <c r="B9" s="23" t="s">
        <v>2</v>
      </c>
      <c r="C9" s="23" t="s">
        <v>334</v>
      </c>
      <c r="D9" s="23" t="s">
        <v>102</v>
      </c>
      <c r="E9" s="2">
        <v>6</v>
      </c>
      <c r="F9" s="24">
        <v>6.968</v>
      </c>
      <c r="G9" s="24">
        <v>2.994</v>
      </c>
      <c r="H9" s="2">
        <v>120</v>
      </c>
      <c r="I9" s="3" t="s">
        <v>335</v>
      </c>
      <c r="J9" s="6">
        <v>0.0</v>
      </c>
      <c r="K9" s="4" t="s">
        <v>343</v>
      </c>
    </row>
    <row r="10" ht="20" customHeight="1">
      <c r="A10" s="3" t="s">
        <v>333</v>
      </c>
      <c r="B10" s="22" t="s">
        <v>330</v>
      </c>
      <c r="C10" s="22" t="s">
        <v>344</v>
      </c>
      <c r="D10" s="22" t="s">
        <v>105</v>
      </c>
      <c r="E10" s="22" t="s">
        <v>332</v>
      </c>
      <c r="F10" s="22" t="s">
        <v>332</v>
      </c>
      <c r="G10" s="22" t="s">
        <v>332</v>
      </c>
      <c r="H10" s="22" t="s">
        <v>332</v>
      </c>
      <c r="I10" s="22" t="s">
        <v>332</v>
      </c>
      <c r="J10" s="22" t="s">
        <v>332</v>
      </c>
      <c r="K10" s="22" t="s">
        <v>332</v>
      </c>
    </row>
    <row r="11" ht="33" customHeight="1">
      <c r="A11" s="3" t="s">
        <v>333</v>
      </c>
      <c r="B11" s="23" t="s">
        <v>2</v>
      </c>
      <c r="C11" s="23" t="s">
        <v>334</v>
      </c>
      <c r="D11" s="23" t="s">
        <v>106</v>
      </c>
      <c r="E11" s="2">
        <v>10</v>
      </c>
      <c r="F11" s="24">
        <v>6.85</v>
      </c>
      <c r="G11" s="24">
        <v>4.608</v>
      </c>
      <c r="H11" s="2">
        <v>130</v>
      </c>
      <c r="I11" s="3" t="s">
        <v>335</v>
      </c>
      <c r="J11" s="6">
        <v>0.39350217684360483</v>
      </c>
      <c r="K11" s="4" t="s">
        <v>338</v>
      </c>
    </row>
    <row r="12" ht="20" customHeight="1">
      <c r="A12" s="3" t="s">
        <v>333</v>
      </c>
      <c r="B12" s="22" t="s">
        <v>330</v>
      </c>
      <c r="C12" s="22" t="s">
        <v>339</v>
      </c>
      <c r="D12" s="22" t="s">
        <v>345</v>
      </c>
      <c r="E12" s="22" t="s">
        <v>332</v>
      </c>
      <c r="F12" s="22" t="s">
        <v>332</v>
      </c>
      <c r="G12" s="22" t="s">
        <v>332</v>
      </c>
      <c r="H12" s="22" t="s">
        <v>332</v>
      </c>
      <c r="I12" s="22" t="s">
        <v>332</v>
      </c>
      <c r="J12" s="22" t="s">
        <v>332</v>
      </c>
      <c r="K12" s="22" t="s">
        <v>332</v>
      </c>
    </row>
    <row r="13" ht="33" customHeight="1">
      <c r="A13" s="3" t="s">
        <v>333</v>
      </c>
      <c r="B13" s="23" t="s">
        <v>2</v>
      </c>
      <c r="C13" s="23" t="s">
        <v>334</v>
      </c>
      <c r="D13" s="23" t="s">
        <v>346</v>
      </c>
      <c r="E13" s="2">
        <v>16</v>
      </c>
      <c r="F13" s="24">
        <v>2.2</v>
      </c>
      <c r="G13" s="24">
        <v>8.992</v>
      </c>
      <c r="H13" s="2">
        <v>107</v>
      </c>
      <c r="I13" s="3" t="s">
        <v>335</v>
      </c>
      <c r="J13" s="6">
        <v>0.9539153361133499</v>
      </c>
      <c r="K13" s="4" t="s">
        <v>336</v>
      </c>
    </row>
    <row r="14" ht="20" customHeight="1">
      <c r="A14" s="3" t="s">
        <v>333</v>
      </c>
      <c r="B14" s="22" t="s">
        <v>330</v>
      </c>
      <c r="C14" s="22" t="s">
        <v>347</v>
      </c>
      <c r="D14" s="22" t="s">
        <v>112</v>
      </c>
      <c r="E14" s="22" t="s">
        <v>332</v>
      </c>
      <c r="F14" s="22" t="s">
        <v>332</v>
      </c>
      <c r="G14" s="22" t="s">
        <v>332</v>
      </c>
      <c r="H14" s="22" t="s">
        <v>332</v>
      </c>
      <c r="I14" s="22" t="s">
        <v>332</v>
      </c>
      <c r="J14" s="22" t="s">
        <v>332</v>
      </c>
      <c r="K14" s="22" t="s">
        <v>332</v>
      </c>
    </row>
    <row r="15" ht="46.5" customHeight="1">
      <c r="A15" s="3" t="s">
        <v>333</v>
      </c>
      <c r="B15" s="23" t="s">
        <v>2</v>
      </c>
      <c r="C15" s="23" t="s">
        <v>334</v>
      </c>
      <c r="D15" s="23" t="s">
        <v>113</v>
      </c>
      <c r="E15" s="2">
        <v>26</v>
      </c>
      <c r="F15" s="24">
        <v>7.708</v>
      </c>
      <c r="G15" s="24">
        <v>12.775</v>
      </c>
      <c r="H15" s="2">
        <v>122</v>
      </c>
      <c r="I15" s="3" t="s">
        <v>335</v>
      </c>
      <c r="J15" s="6">
        <v>1.0</v>
      </c>
      <c r="K15" s="4" t="s">
        <v>336</v>
      </c>
    </row>
    <row r="16" ht="20" customHeight="1">
      <c r="A16" s="3" t="s">
        <v>333</v>
      </c>
      <c r="B16" s="22" t="s">
        <v>330</v>
      </c>
      <c r="C16" s="22" t="s">
        <v>348</v>
      </c>
      <c r="D16" s="22" t="s">
        <v>116</v>
      </c>
      <c r="E16" s="22" t="s">
        <v>332</v>
      </c>
      <c r="F16" s="22" t="s">
        <v>332</v>
      </c>
      <c r="G16" s="22" t="s">
        <v>332</v>
      </c>
      <c r="H16" s="22" t="s">
        <v>332</v>
      </c>
      <c r="I16" s="22" t="s">
        <v>332</v>
      </c>
      <c r="J16" s="22" t="s">
        <v>332</v>
      </c>
      <c r="K16" s="22" t="s">
        <v>332</v>
      </c>
    </row>
    <row r="17" ht="46.5" customHeight="1">
      <c r="A17" s="3" t="s">
        <v>333</v>
      </c>
      <c r="B17" s="23" t="s">
        <v>2</v>
      </c>
      <c r="C17" s="23" t="s">
        <v>334</v>
      </c>
      <c r="D17" s="23" t="s">
        <v>117</v>
      </c>
      <c r="E17" s="2">
        <v>34</v>
      </c>
      <c r="F17" s="24">
        <v>2.495</v>
      </c>
      <c r="G17" s="24">
        <v>17.408</v>
      </c>
      <c r="H17" s="2">
        <v>117</v>
      </c>
      <c r="I17" s="3" t="s">
        <v>335</v>
      </c>
      <c r="J17" s="6">
        <v>0.9327201631195079</v>
      </c>
      <c r="K17" s="4" t="s">
        <v>336</v>
      </c>
    </row>
    <row r="18" ht="20" customHeight="1">
      <c r="A18" s="3" t="s">
        <v>333</v>
      </c>
      <c r="B18" s="22" t="s">
        <v>330</v>
      </c>
      <c r="C18" s="22" t="s">
        <v>349</v>
      </c>
      <c r="D18" s="22" t="s">
        <v>121</v>
      </c>
      <c r="E18" s="22" t="s">
        <v>332</v>
      </c>
      <c r="F18" s="22" t="s">
        <v>332</v>
      </c>
      <c r="G18" s="22" t="s">
        <v>332</v>
      </c>
      <c r="H18" s="22" t="s">
        <v>332</v>
      </c>
      <c r="I18" s="22" t="s">
        <v>332</v>
      </c>
      <c r="J18" s="22" t="s">
        <v>332</v>
      </c>
      <c r="K18" s="22" t="s">
        <v>332</v>
      </c>
    </row>
    <row r="19" ht="33" customHeight="1">
      <c r="A19" s="3" t="s">
        <v>333</v>
      </c>
      <c r="B19" s="23" t="s">
        <v>2</v>
      </c>
      <c r="C19" s="23" t="s">
        <v>334</v>
      </c>
      <c r="D19" s="23" t="s">
        <v>122</v>
      </c>
      <c r="E19" s="2">
        <v>19</v>
      </c>
      <c r="F19" s="24">
        <v>9.961</v>
      </c>
      <c r="G19" s="24">
        <v>11.172</v>
      </c>
      <c r="H19" s="2">
        <v>102</v>
      </c>
      <c r="I19" s="3" t="s">
        <v>335</v>
      </c>
      <c r="J19" s="6">
        <v>0.6251602046699313</v>
      </c>
      <c r="K19" s="4" t="s">
        <v>336</v>
      </c>
    </row>
    <row r="20" ht="20" customHeight="1">
      <c r="A20" s="3" t="s">
        <v>333</v>
      </c>
      <c r="B20" s="22" t="s">
        <v>330</v>
      </c>
      <c r="C20" s="22" t="s">
        <v>350</v>
      </c>
      <c r="D20" s="22" t="s">
        <v>127</v>
      </c>
      <c r="E20" s="22" t="s">
        <v>332</v>
      </c>
      <c r="F20" s="22" t="s">
        <v>332</v>
      </c>
      <c r="G20" s="22" t="s">
        <v>332</v>
      </c>
      <c r="H20" s="22" t="s">
        <v>332</v>
      </c>
      <c r="I20" s="22" t="s">
        <v>332</v>
      </c>
      <c r="J20" s="22" t="s">
        <v>332</v>
      </c>
      <c r="K20" s="22" t="s">
        <v>332</v>
      </c>
    </row>
    <row r="21" ht="33" customHeight="1">
      <c r="A21" s="3" t="s">
        <v>333</v>
      </c>
      <c r="B21" s="23" t="s">
        <v>2</v>
      </c>
      <c r="C21" s="23" t="s">
        <v>334</v>
      </c>
      <c r="D21" s="23" t="s">
        <v>102</v>
      </c>
      <c r="E21" s="2">
        <v>6</v>
      </c>
      <c r="F21" s="24">
        <v>9.307</v>
      </c>
      <c r="G21" s="24">
        <v>2.5</v>
      </c>
      <c r="H21" s="2">
        <v>144</v>
      </c>
      <c r="I21" s="3" t="s">
        <v>335</v>
      </c>
      <c r="J21" s="6">
        <v>0.0</v>
      </c>
      <c r="K21" s="4" t="s">
        <v>343</v>
      </c>
    </row>
    <row r="22" ht="20" customHeight="1">
      <c r="A22" s="3" t="s">
        <v>333</v>
      </c>
      <c r="B22" s="22" t="s">
        <v>330</v>
      </c>
      <c r="C22" s="22" t="s">
        <v>351</v>
      </c>
      <c r="D22" s="22" t="s">
        <v>130</v>
      </c>
      <c r="E22" s="22" t="s">
        <v>332</v>
      </c>
      <c r="F22" s="22" t="s">
        <v>332</v>
      </c>
      <c r="G22" s="22" t="s">
        <v>332</v>
      </c>
      <c r="H22" s="22" t="s">
        <v>332</v>
      </c>
      <c r="I22" s="22" t="s">
        <v>332</v>
      </c>
      <c r="J22" s="22" t="s">
        <v>332</v>
      </c>
      <c r="K22" s="22" t="s">
        <v>332</v>
      </c>
    </row>
    <row r="23" ht="33" customHeight="1">
      <c r="A23" s="3" t="s">
        <v>333</v>
      </c>
      <c r="B23" s="23" t="s">
        <v>2</v>
      </c>
      <c r="C23" s="23" t="s">
        <v>334</v>
      </c>
      <c r="D23" s="23" t="s">
        <v>131</v>
      </c>
      <c r="E23" s="2">
        <v>11</v>
      </c>
      <c r="F23" s="24">
        <v>3.842</v>
      </c>
      <c r="G23" s="24">
        <v>4.716</v>
      </c>
      <c r="H23" s="2">
        <v>140</v>
      </c>
      <c r="I23" s="3" t="s">
        <v>335</v>
      </c>
      <c r="J23" s="6">
        <v>0.6156310505842395</v>
      </c>
      <c r="K23" s="4" t="s">
        <v>336</v>
      </c>
    </row>
    <row r="24" ht="20" customHeight="1">
      <c r="A24" s="3" t="s">
        <v>333</v>
      </c>
      <c r="B24" s="22" t="s">
        <v>330</v>
      </c>
      <c r="C24" s="22" t="s">
        <v>352</v>
      </c>
      <c r="D24" s="22" t="s">
        <v>135</v>
      </c>
      <c r="E24" s="22" t="s">
        <v>332</v>
      </c>
      <c r="F24" s="22" t="s">
        <v>332</v>
      </c>
      <c r="G24" s="22" t="s">
        <v>332</v>
      </c>
      <c r="H24" s="22" t="s">
        <v>332</v>
      </c>
      <c r="I24" s="22" t="s">
        <v>332</v>
      </c>
      <c r="J24" s="22" t="s">
        <v>332</v>
      </c>
      <c r="K24" s="22" t="s">
        <v>332</v>
      </c>
    </row>
    <row r="25" ht="60" customHeight="1">
      <c r="A25" s="3" t="s">
        <v>333</v>
      </c>
      <c r="B25" s="23" t="s">
        <v>2</v>
      </c>
      <c r="C25" s="23" t="s">
        <v>334</v>
      </c>
      <c r="D25" s="23" t="s">
        <v>136</v>
      </c>
      <c r="E25" s="2">
        <v>40</v>
      </c>
      <c r="F25" s="24">
        <v>9.883</v>
      </c>
      <c r="G25" s="24">
        <v>14.837</v>
      </c>
      <c r="H25" s="2">
        <v>162</v>
      </c>
      <c r="I25" s="3" t="s">
        <v>335</v>
      </c>
      <c r="J25" s="6">
        <v>1.0</v>
      </c>
      <c r="K25" s="4" t="s">
        <v>336</v>
      </c>
    </row>
    <row r="26" ht="20" customHeight="1">
      <c r="A26" s="3" t="s">
        <v>333</v>
      </c>
      <c r="B26" s="22" t="s">
        <v>330</v>
      </c>
      <c r="C26" s="22" t="s">
        <v>353</v>
      </c>
      <c r="D26" s="22" t="s">
        <v>140</v>
      </c>
      <c r="E26" s="22" t="s">
        <v>332</v>
      </c>
      <c r="F26" s="22" t="s">
        <v>332</v>
      </c>
      <c r="G26" s="22" t="s">
        <v>332</v>
      </c>
      <c r="H26" s="22" t="s">
        <v>332</v>
      </c>
      <c r="I26" s="22" t="s">
        <v>332</v>
      </c>
      <c r="J26" s="22" t="s">
        <v>332</v>
      </c>
      <c r="K26" s="22" t="s">
        <v>332</v>
      </c>
    </row>
    <row r="27" ht="46.5" customHeight="1">
      <c r="A27" s="3" t="s">
        <v>333</v>
      </c>
      <c r="B27" s="23" t="s">
        <v>2</v>
      </c>
      <c r="C27" s="23" t="s">
        <v>334</v>
      </c>
      <c r="D27" s="23" t="s">
        <v>141</v>
      </c>
      <c r="E27" s="2">
        <v>28</v>
      </c>
      <c r="F27" s="24">
        <v>2.718</v>
      </c>
      <c r="G27" s="24">
        <v>9.558</v>
      </c>
      <c r="H27" s="2">
        <v>176</v>
      </c>
      <c r="I27" s="3" t="s">
        <v>335</v>
      </c>
      <c r="J27" s="6">
        <v>1.0</v>
      </c>
      <c r="K27" s="4" t="s">
        <v>336</v>
      </c>
    </row>
    <row r="28" ht="20" customHeight="1">
      <c r="A28" s="3" t="s">
        <v>333</v>
      </c>
      <c r="B28" s="22" t="s">
        <v>330</v>
      </c>
      <c r="C28" s="22" t="s">
        <v>354</v>
      </c>
      <c r="D28" s="22" t="s">
        <v>144</v>
      </c>
      <c r="E28" s="22" t="s">
        <v>332</v>
      </c>
      <c r="F28" s="22" t="s">
        <v>332</v>
      </c>
      <c r="G28" s="22" t="s">
        <v>332</v>
      </c>
      <c r="H28" s="22" t="s">
        <v>332</v>
      </c>
      <c r="I28" s="22" t="s">
        <v>332</v>
      </c>
      <c r="J28" s="22" t="s">
        <v>332</v>
      </c>
      <c r="K28" s="22" t="s">
        <v>332</v>
      </c>
    </row>
    <row r="29" ht="33" customHeight="1">
      <c r="A29" s="3" t="s">
        <v>333</v>
      </c>
      <c r="B29" s="23" t="s">
        <v>2</v>
      </c>
      <c r="C29" s="23" t="s">
        <v>334</v>
      </c>
      <c r="D29" s="23" t="s">
        <v>145</v>
      </c>
      <c r="E29" s="2">
        <v>10</v>
      </c>
      <c r="F29" s="24">
        <v>2.239</v>
      </c>
      <c r="G29" s="24">
        <v>5.0</v>
      </c>
      <c r="H29" s="2">
        <v>120</v>
      </c>
      <c r="I29" s="3" t="s">
        <v>335</v>
      </c>
      <c r="J29" s="6">
        <v>0.39323143517858605</v>
      </c>
      <c r="K29" s="4" t="s">
        <v>338</v>
      </c>
    </row>
    <row r="30" ht="20" customHeight="1">
      <c r="A30" s="3" t="s">
        <v>333</v>
      </c>
      <c r="B30" s="22" t="s">
        <v>330</v>
      </c>
      <c r="C30" s="22" t="s">
        <v>339</v>
      </c>
      <c r="D30" s="22" t="s">
        <v>355</v>
      </c>
      <c r="E30" s="22" t="s">
        <v>332</v>
      </c>
      <c r="F30" s="22" t="s">
        <v>332</v>
      </c>
      <c r="G30" s="22" t="s">
        <v>332</v>
      </c>
      <c r="H30" s="22" t="s">
        <v>332</v>
      </c>
      <c r="I30" s="22" t="s">
        <v>332</v>
      </c>
      <c r="J30" s="22" t="s">
        <v>332</v>
      </c>
      <c r="K30" s="22" t="s">
        <v>332</v>
      </c>
    </row>
    <row r="31" ht="33" customHeight="1">
      <c r="A31" s="3" t="s">
        <v>333</v>
      </c>
      <c r="B31" s="23" t="s">
        <v>2</v>
      </c>
      <c r="C31" s="23" t="s">
        <v>334</v>
      </c>
      <c r="D31" s="23" t="s">
        <v>356</v>
      </c>
      <c r="E31" s="2">
        <v>11</v>
      </c>
      <c r="F31" s="24">
        <v>4.576</v>
      </c>
      <c r="G31" s="24">
        <v>4.521</v>
      </c>
      <c r="H31" s="2">
        <v>146</v>
      </c>
      <c r="I31" s="3" t="s">
        <v>335</v>
      </c>
      <c r="J31" s="6">
        <v>1.0</v>
      </c>
      <c r="K31" s="4" t="s">
        <v>336</v>
      </c>
    </row>
    <row r="32" ht="20" customHeight="1">
      <c r="A32" s="3" t="s">
        <v>333</v>
      </c>
      <c r="B32" s="22" t="s">
        <v>330</v>
      </c>
      <c r="C32" s="22" t="s">
        <v>357</v>
      </c>
      <c r="D32" s="22" t="s">
        <v>149</v>
      </c>
      <c r="E32" s="22" t="s">
        <v>332</v>
      </c>
      <c r="F32" s="22" t="s">
        <v>332</v>
      </c>
      <c r="G32" s="22" t="s">
        <v>332</v>
      </c>
      <c r="H32" s="22" t="s">
        <v>332</v>
      </c>
      <c r="I32" s="22" t="s">
        <v>332</v>
      </c>
      <c r="J32" s="22" t="s">
        <v>332</v>
      </c>
      <c r="K32" s="22" t="s">
        <v>332</v>
      </c>
    </row>
    <row r="33" ht="33" customHeight="1">
      <c r="A33" s="3" t="s">
        <v>333</v>
      </c>
      <c r="B33" s="23" t="s">
        <v>2</v>
      </c>
      <c r="C33" s="23" t="s">
        <v>334</v>
      </c>
      <c r="D33" s="23" t="s">
        <v>102</v>
      </c>
      <c r="E33" s="2">
        <v>6</v>
      </c>
      <c r="F33" s="24">
        <v>1.123</v>
      </c>
      <c r="G33" s="24">
        <v>2.538</v>
      </c>
      <c r="H33" s="2">
        <v>142</v>
      </c>
      <c r="I33" s="3" t="s">
        <v>335</v>
      </c>
      <c r="J33" s="6">
        <v>0.0</v>
      </c>
      <c r="K33" s="4" t="s">
        <v>343</v>
      </c>
    </row>
    <row r="34" ht="20" customHeight="1">
      <c r="A34" s="3" t="s">
        <v>333</v>
      </c>
      <c r="B34" s="22" t="s">
        <v>330</v>
      </c>
      <c r="C34" s="22" t="s">
        <v>358</v>
      </c>
      <c r="D34" s="22" t="s">
        <v>151</v>
      </c>
      <c r="E34" s="22" t="s">
        <v>332</v>
      </c>
      <c r="F34" s="22" t="s">
        <v>332</v>
      </c>
      <c r="G34" s="22" t="s">
        <v>332</v>
      </c>
      <c r="H34" s="22" t="s">
        <v>332</v>
      </c>
      <c r="I34" s="22" t="s">
        <v>332</v>
      </c>
      <c r="J34" s="22" t="s">
        <v>332</v>
      </c>
      <c r="K34" s="22" t="s">
        <v>332</v>
      </c>
    </row>
    <row r="35" ht="33" customHeight="1">
      <c r="A35" s="3" t="s">
        <v>333</v>
      </c>
      <c r="B35" s="23" t="s">
        <v>2</v>
      </c>
      <c r="C35" s="23" t="s">
        <v>334</v>
      </c>
      <c r="D35" s="23" t="s">
        <v>152</v>
      </c>
      <c r="E35" s="2">
        <v>13</v>
      </c>
      <c r="F35" s="24">
        <v>4.679</v>
      </c>
      <c r="G35" s="24">
        <v>6.383</v>
      </c>
      <c r="H35" s="2">
        <v>122</v>
      </c>
      <c r="I35" s="3" t="s">
        <v>335</v>
      </c>
      <c r="J35" s="6">
        <v>0.40601531132630175</v>
      </c>
      <c r="K35" s="4" t="s">
        <v>338</v>
      </c>
    </row>
    <row r="36" ht="20" customHeight="1">
      <c r="A36" s="3" t="s">
        <v>333</v>
      </c>
      <c r="B36" s="22" t="s">
        <v>330</v>
      </c>
      <c r="C36" s="22" t="s">
        <v>339</v>
      </c>
      <c r="D36" s="22" t="s">
        <v>359</v>
      </c>
      <c r="E36" s="22" t="s">
        <v>332</v>
      </c>
      <c r="F36" s="22" t="s">
        <v>332</v>
      </c>
      <c r="G36" s="22" t="s">
        <v>332</v>
      </c>
      <c r="H36" s="22" t="s">
        <v>332</v>
      </c>
      <c r="I36" s="22" t="s">
        <v>332</v>
      </c>
      <c r="J36" s="22" t="s">
        <v>332</v>
      </c>
      <c r="K36" s="22" t="s">
        <v>332</v>
      </c>
    </row>
    <row r="37" ht="33" customHeight="1">
      <c r="A37" s="3" t="s">
        <v>333</v>
      </c>
      <c r="B37" s="23" t="s">
        <v>2</v>
      </c>
      <c r="C37" s="23" t="s">
        <v>334</v>
      </c>
      <c r="D37" s="23" t="s">
        <v>360</v>
      </c>
      <c r="E37" s="2">
        <v>17</v>
      </c>
      <c r="F37" s="24">
        <v>6.535</v>
      </c>
      <c r="G37" s="24">
        <v>10.064</v>
      </c>
      <c r="H37" s="2">
        <v>101</v>
      </c>
      <c r="I37" s="3" t="s">
        <v>335</v>
      </c>
      <c r="J37" s="6">
        <v>0.7723737262001583</v>
      </c>
      <c r="K37" s="4" t="s">
        <v>336</v>
      </c>
    </row>
    <row r="38" ht="20" customHeight="1">
      <c r="A38" s="3" t="s">
        <v>333</v>
      </c>
      <c r="B38" s="22" t="s">
        <v>330</v>
      </c>
      <c r="C38" s="22" t="s">
        <v>361</v>
      </c>
      <c r="D38" s="22" t="s">
        <v>157</v>
      </c>
      <c r="E38" s="22" t="s">
        <v>332</v>
      </c>
      <c r="F38" s="22" t="s">
        <v>332</v>
      </c>
      <c r="G38" s="22" t="s">
        <v>332</v>
      </c>
      <c r="H38" s="22" t="s">
        <v>332</v>
      </c>
      <c r="I38" s="22" t="s">
        <v>332</v>
      </c>
      <c r="J38" s="22" t="s">
        <v>332</v>
      </c>
      <c r="K38" s="22" t="s">
        <v>332</v>
      </c>
    </row>
    <row r="39" ht="46.5" customHeight="1">
      <c r="A39" s="3" t="s">
        <v>333</v>
      </c>
      <c r="B39" s="23" t="s">
        <v>2</v>
      </c>
      <c r="C39" s="23" t="s">
        <v>334</v>
      </c>
      <c r="D39" s="23" t="s">
        <v>158</v>
      </c>
      <c r="E39" s="2">
        <v>37</v>
      </c>
      <c r="F39" s="24">
        <v>9.818</v>
      </c>
      <c r="G39" s="24">
        <v>12.816</v>
      </c>
      <c r="H39" s="2">
        <v>173</v>
      </c>
      <c r="I39" s="3" t="s">
        <v>335</v>
      </c>
      <c r="J39" s="6">
        <v>1.0</v>
      </c>
      <c r="K39" s="4" t="s">
        <v>336</v>
      </c>
    </row>
    <row r="40" ht="20" customHeight="1">
      <c r="A40" s="3" t="s">
        <v>333</v>
      </c>
      <c r="B40" s="22" t="s">
        <v>330</v>
      </c>
      <c r="C40" s="22" t="s">
        <v>362</v>
      </c>
      <c r="D40" s="22" t="s">
        <v>162</v>
      </c>
      <c r="E40" s="22" t="s">
        <v>332</v>
      </c>
      <c r="F40" s="22" t="s">
        <v>332</v>
      </c>
      <c r="G40" s="22" t="s">
        <v>332</v>
      </c>
      <c r="H40" s="22" t="s">
        <v>332</v>
      </c>
      <c r="I40" s="22" t="s">
        <v>332</v>
      </c>
      <c r="J40" s="22" t="s">
        <v>332</v>
      </c>
      <c r="K40" s="22" t="s">
        <v>332</v>
      </c>
    </row>
    <row r="41" ht="46.5" customHeight="1">
      <c r="A41" s="3" t="s">
        <v>333</v>
      </c>
      <c r="B41" s="23" t="s">
        <v>2</v>
      </c>
      <c r="C41" s="23" t="s">
        <v>334</v>
      </c>
      <c r="D41" s="23" t="s">
        <v>163</v>
      </c>
      <c r="E41" s="2">
        <v>33</v>
      </c>
      <c r="F41" s="24">
        <v>9.646</v>
      </c>
      <c r="G41" s="24">
        <v>18.688</v>
      </c>
      <c r="H41" s="2">
        <v>106</v>
      </c>
      <c r="I41" s="3" t="s">
        <v>335</v>
      </c>
      <c r="J41" s="6">
        <v>1.0</v>
      </c>
      <c r="K41" s="4" t="s">
        <v>336</v>
      </c>
    </row>
    <row r="42" ht="20" customHeight="1">
      <c r="A42" s="3" t="s">
        <v>333</v>
      </c>
      <c r="B42" s="22" t="s">
        <v>330</v>
      </c>
      <c r="C42" s="22" t="s">
        <v>363</v>
      </c>
      <c r="D42" s="22" t="s">
        <v>167</v>
      </c>
      <c r="E42" s="22" t="s">
        <v>332</v>
      </c>
      <c r="F42" s="22" t="s">
        <v>332</v>
      </c>
      <c r="G42" s="22" t="s">
        <v>332</v>
      </c>
      <c r="H42" s="22" t="s">
        <v>332</v>
      </c>
      <c r="I42" s="22" t="s">
        <v>332</v>
      </c>
      <c r="J42" s="22" t="s">
        <v>332</v>
      </c>
      <c r="K42" s="22" t="s">
        <v>332</v>
      </c>
    </row>
    <row r="43" ht="33" customHeight="1">
      <c r="A43" s="3" t="s">
        <v>333</v>
      </c>
      <c r="B43" s="23" t="s">
        <v>2</v>
      </c>
      <c r="C43" s="23" t="s">
        <v>334</v>
      </c>
      <c r="D43" s="23" t="s">
        <v>168</v>
      </c>
      <c r="E43" s="2">
        <v>19</v>
      </c>
      <c r="F43" s="24">
        <v>8.325</v>
      </c>
      <c r="G43" s="24">
        <v>7.68</v>
      </c>
      <c r="H43" s="2">
        <v>148</v>
      </c>
      <c r="I43" s="3" t="s">
        <v>335</v>
      </c>
      <c r="J43" s="6">
        <v>0.6146762514830428</v>
      </c>
      <c r="K43" s="4" t="s">
        <v>336</v>
      </c>
    </row>
    <row r="44" ht="20" customHeight="1">
      <c r="A44" s="3" t="s">
        <v>333</v>
      </c>
      <c r="B44" s="22" t="s">
        <v>330</v>
      </c>
      <c r="C44" s="22" t="s">
        <v>364</v>
      </c>
      <c r="D44" s="22" t="s">
        <v>173</v>
      </c>
      <c r="E44" s="22" t="s">
        <v>332</v>
      </c>
      <c r="F44" s="22" t="s">
        <v>332</v>
      </c>
      <c r="G44" s="22" t="s">
        <v>332</v>
      </c>
      <c r="H44" s="22" t="s">
        <v>332</v>
      </c>
      <c r="I44" s="22" t="s">
        <v>332</v>
      </c>
      <c r="J44" s="22" t="s">
        <v>332</v>
      </c>
      <c r="K44" s="22" t="s">
        <v>332</v>
      </c>
    </row>
    <row r="45" ht="33" customHeight="1">
      <c r="A45" s="3" t="s">
        <v>333</v>
      </c>
      <c r="B45" s="23" t="s">
        <v>2</v>
      </c>
      <c r="C45" s="23" t="s">
        <v>334</v>
      </c>
      <c r="D45" s="23" t="s">
        <v>102</v>
      </c>
      <c r="E45" s="2">
        <v>6</v>
      </c>
      <c r="F45" s="24">
        <v>6.673</v>
      </c>
      <c r="G45" s="24">
        <v>2.5</v>
      </c>
      <c r="H45" s="2">
        <v>144</v>
      </c>
      <c r="I45" s="3" t="s">
        <v>335</v>
      </c>
      <c r="J45" s="6">
        <v>0.0</v>
      </c>
      <c r="K45" s="4" t="s">
        <v>343</v>
      </c>
    </row>
    <row r="46" ht="20" customHeight="1">
      <c r="A46" s="3" t="s">
        <v>333</v>
      </c>
      <c r="B46" s="22" t="s">
        <v>330</v>
      </c>
      <c r="C46" s="22" t="s">
        <v>365</v>
      </c>
      <c r="D46" s="22" t="s">
        <v>175</v>
      </c>
      <c r="E46" s="22" t="s">
        <v>332</v>
      </c>
      <c r="F46" s="22" t="s">
        <v>332</v>
      </c>
      <c r="G46" s="22" t="s">
        <v>332</v>
      </c>
      <c r="H46" s="22" t="s">
        <v>332</v>
      </c>
      <c r="I46" s="22" t="s">
        <v>332</v>
      </c>
      <c r="J46" s="22" t="s">
        <v>332</v>
      </c>
      <c r="K46" s="22" t="s">
        <v>332</v>
      </c>
    </row>
    <row r="47" ht="33" customHeight="1">
      <c r="A47" s="3" t="s">
        <v>333</v>
      </c>
      <c r="B47" s="23" t="s">
        <v>2</v>
      </c>
      <c r="C47" s="23" t="s">
        <v>334</v>
      </c>
      <c r="D47" s="23" t="s">
        <v>176</v>
      </c>
      <c r="E47" s="2">
        <v>14</v>
      </c>
      <c r="F47" s="24">
        <v>5.333</v>
      </c>
      <c r="G47" s="24">
        <v>6.435</v>
      </c>
      <c r="H47" s="2">
        <v>131</v>
      </c>
      <c r="I47" s="3" t="s">
        <v>335</v>
      </c>
      <c r="J47" s="6">
        <v>0.3511315783362987</v>
      </c>
      <c r="K47" s="4" t="s">
        <v>338</v>
      </c>
    </row>
    <row r="48" ht="20" customHeight="1">
      <c r="A48" s="3" t="s">
        <v>333</v>
      </c>
      <c r="B48" s="22" t="s">
        <v>330</v>
      </c>
      <c r="C48" s="22" t="s">
        <v>339</v>
      </c>
      <c r="D48" s="22" t="s">
        <v>366</v>
      </c>
      <c r="E48" s="22" t="s">
        <v>332</v>
      </c>
      <c r="F48" s="22" t="s">
        <v>332</v>
      </c>
      <c r="G48" s="22" t="s">
        <v>332</v>
      </c>
      <c r="H48" s="22" t="s">
        <v>332</v>
      </c>
      <c r="I48" s="22" t="s">
        <v>332</v>
      </c>
      <c r="J48" s="22" t="s">
        <v>332</v>
      </c>
      <c r="K48" s="22" t="s">
        <v>332</v>
      </c>
    </row>
    <row r="49" ht="33" customHeight="1">
      <c r="A49" s="3" t="s">
        <v>333</v>
      </c>
      <c r="B49" s="23" t="s">
        <v>2</v>
      </c>
      <c r="C49" s="23" t="s">
        <v>334</v>
      </c>
      <c r="D49" s="23" t="s">
        <v>367</v>
      </c>
      <c r="E49" s="2">
        <v>17</v>
      </c>
      <c r="F49" s="24">
        <v>9.512</v>
      </c>
      <c r="G49" s="24">
        <v>6.613</v>
      </c>
      <c r="H49" s="2">
        <v>154</v>
      </c>
      <c r="I49" s="3" t="s">
        <v>335</v>
      </c>
      <c r="J49" s="6">
        <v>1.0</v>
      </c>
      <c r="K49" s="4" t="s">
        <v>336</v>
      </c>
    </row>
    <row r="50" ht="20" customHeight="1">
      <c r="A50" s="3" t="s">
        <v>333</v>
      </c>
      <c r="B50" s="22" t="s">
        <v>330</v>
      </c>
      <c r="C50" s="22" t="s">
        <v>368</v>
      </c>
      <c r="D50" s="22" t="s">
        <v>180</v>
      </c>
      <c r="E50" s="22" t="s">
        <v>332</v>
      </c>
      <c r="F50" s="22" t="s">
        <v>332</v>
      </c>
      <c r="G50" s="22" t="s">
        <v>332</v>
      </c>
      <c r="H50" s="22" t="s">
        <v>332</v>
      </c>
      <c r="I50" s="22" t="s">
        <v>332</v>
      </c>
      <c r="J50" s="22" t="s">
        <v>332</v>
      </c>
      <c r="K50" s="22" t="s">
        <v>332</v>
      </c>
    </row>
    <row r="51" ht="46.5" customHeight="1">
      <c r="A51" s="3" t="s">
        <v>333</v>
      </c>
      <c r="B51" s="23" t="s">
        <v>2</v>
      </c>
      <c r="C51" s="23" t="s">
        <v>334</v>
      </c>
      <c r="D51" s="23" t="s">
        <v>181</v>
      </c>
      <c r="E51" s="2">
        <v>29</v>
      </c>
      <c r="F51" s="24">
        <v>5.276</v>
      </c>
      <c r="G51" s="24">
        <v>13.052</v>
      </c>
      <c r="H51" s="2">
        <v>133</v>
      </c>
      <c r="I51" s="3" t="s">
        <v>335</v>
      </c>
      <c r="J51" s="6">
        <v>1.0</v>
      </c>
      <c r="K51" s="4" t="s">
        <v>336</v>
      </c>
    </row>
    <row r="52" ht="20" customHeight="1">
      <c r="A52" s="3" t="s">
        <v>333</v>
      </c>
      <c r="B52" s="22" t="s">
        <v>330</v>
      </c>
      <c r="C52" s="22" t="s">
        <v>369</v>
      </c>
      <c r="D52" s="22" t="s">
        <v>184</v>
      </c>
      <c r="E52" s="22" t="s">
        <v>332</v>
      </c>
      <c r="F52" s="22" t="s">
        <v>332</v>
      </c>
      <c r="G52" s="22" t="s">
        <v>332</v>
      </c>
      <c r="H52" s="22" t="s">
        <v>332</v>
      </c>
      <c r="I52" s="22" t="s">
        <v>332</v>
      </c>
      <c r="J52" s="22" t="s">
        <v>332</v>
      </c>
      <c r="K52" s="22" t="s">
        <v>332</v>
      </c>
    </row>
    <row r="53" ht="33" customHeight="1">
      <c r="A53" s="3" t="s">
        <v>333</v>
      </c>
      <c r="B53" s="23" t="s">
        <v>2</v>
      </c>
      <c r="C53" s="23" t="s">
        <v>334</v>
      </c>
      <c r="D53" s="23" t="s">
        <v>185</v>
      </c>
      <c r="E53" s="2">
        <v>23</v>
      </c>
      <c r="F53" s="24">
        <v>4.012</v>
      </c>
      <c r="G53" s="24">
        <v>13.685</v>
      </c>
      <c r="H53" s="2">
        <v>101</v>
      </c>
      <c r="I53" s="3" t="s">
        <v>335</v>
      </c>
      <c r="J53" s="6">
        <v>1.0</v>
      </c>
      <c r="K53" s="4" t="s">
        <v>336</v>
      </c>
    </row>
    <row r="54" ht="20" customHeight="1">
      <c r="A54" s="3" t="s">
        <v>333</v>
      </c>
      <c r="B54" s="22" t="s">
        <v>330</v>
      </c>
      <c r="C54" s="22" t="s">
        <v>370</v>
      </c>
      <c r="D54" s="22" t="s">
        <v>188</v>
      </c>
      <c r="E54" s="22" t="s">
        <v>332</v>
      </c>
      <c r="F54" s="22" t="s">
        <v>332</v>
      </c>
      <c r="G54" s="22" t="s">
        <v>332</v>
      </c>
      <c r="H54" s="22" t="s">
        <v>332</v>
      </c>
      <c r="I54" s="22" t="s">
        <v>332</v>
      </c>
      <c r="J54" s="22" t="s">
        <v>332</v>
      </c>
      <c r="K54" s="22" t="s">
        <v>332</v>
      </c>
    </row>
    <row r="55" ht="33" customHeight="1">
      <c r="A55" s="3" t="s">
        <v>333</v>
      </c>
      <c r="B55" s="23" t="s">
        <v>2</v>
      </c>
      <c r="C55" s="23" t="s">
        <v>334</v>
      </c>
      <c r="D55" s="23" t="s">
        <v>189</v>
      </c>
      <c r="E55" s="2">
        <v>14</v>
      </c>
      <c r="F55" s="24">
        <v>8.194</v>
      </c>
      <c r="G55" s="24">
        <v>8.32</v>
      </c>
      <c r="H55" s="2">
        <v>101</v>
      </c>
      <c r="I55" s="3" t="s">
        <v>335</v>
      </c>
      <c r="J55" s="6">
        <v>0.19378892581094306</v>
      </c>
      <c r="K55" s="4" t="s">
        <v>338</v>
      </c>
    </row>
    <row r="56" ht="20" customHeight="1">
      <c r="A56" s="3" t="s">
        <v>333</v>
      </c>
      <c r="B56" s="22" t="s">
        <v>330</v>
      </c>
      <c r="C56" s="22" t="s">
        <v>339</v>
      </c>
      <c r="D56" s="22" t="s">
        <v>371</v>
      </c>
      <c r="E56" s="22" t="s">
        <v>332</v>
      </c>
      <c r="F56" s="22" t="s">
        <v>332</v>
      </c>
      <c r="G56" s="22" t="s">
        <v>332</v>
      </c>
      <c r="H56" s="22" t="s">
        <v>332</v>
      </c>
      <c r="I56" s="22" t="s">
        <v>332</v>
      </c>
      <c r="J56" s="22" t="s">
        <v>332</v>
      </c>
      <c r="K56" s="22" t="s">
        <v>332</v>
      </c>
    </row>
    <row r="57" ht="33" customHeight="1">
      <c r="A57" s="3" t="s">
        <v>333</v>
      </c>
      <c r="B57" s="23" t="s">
        <v>2</v>
      </c>
      <c r="C57" s="23" t="s">
        <v>334</v>
      </c>
      <c r="D57" s="23" t="s">
        <v>372</v>
      </c>
      <c r="E57" s="2">
        <v>20</v>
      </c>
      <c r="F57" s="24">
        <v>4.844</v>
      </c>
      <c r="G57" s="24">
        <v>9.384</v>
      </c>
      <c r="H57" s="2">
        <v>128</v>
      </c>
      <c r="I57" s="3" t="s">
        <v>335</v>
      </c>
      <c r="J57" s="6">
        <v>1.0</v>
      </c>
      <c r="K57" s="4" t="s">
        <v>336</v>
      </c>
    </row>
    <row r="58" ht="20" customHeight="1">
      <c r="A58" s="3" t="s">
        <v>333</v>
      </c>
      <c r="B58" s="22" t="s">
        <v>330</v>
      </c>
      <c r="C58" s="22" t="s">
        <v>373</v>
      </c>
      <c r="D58" s="22" t="s">
        <v>194</v>
      </c>
      <c r="E58" s="22" t="s">
        <v>332</v>
      </c>
      <c r="F58" s="22" t="s">
        <v>332</v>
      </c>
      <c r="G58" s="22" t="s">
        <v>332</v>
      </c>
      <c r="H58" s="22" t="s">
        <v>332</v>
      </c>
      <c r="I58" s="22" t="s">
        <v>332</v>
      </c>
      <c r="J58" s="22" t="s">
        <v>332</v>
      </c>
      <c r="K58" s="22" t="s">
        <v>332</v>
      </c>
    </row>
    <row r="59" ht="33" customHeight="1">
      <c r="A59" s="3" t="s">
        <v>333</v>
      </c>
      <c r="B59" s="23" t="s">
        <v>2</v>
      </c>
      <c r="C59" s="23" t="s">
        <v>334</v>
      </c>
      <c r="D59" s="23" t="s">
        <v>102</v>
      </c>
      <c r="E59" s="2">
        <v>6</v>
      </c>
      <c r="F59" s="24">
        <v>6.208</v>
      </c>
      <c r="G59" s="24">
        <v>2.5</v>
      </c>
      <c r="H59" s="2">
        <v>144</v>
      </c>
      <c r="I59" s="3" t="s">
        <v>335</v>
      </c>
      <c r="J59" s="6">
        <v>0.0</v>
      </c>
      <c r="K59" s="4" t="s">
        <v>343</v>
      </c>
    </row>
    <row r="60" ht="20" customHeight="1">
      <c r="A60" s="3" t="s">
        <v>333</v>
      </c>
      <c r="B60" s="22" t="s">
        <v>330</v>
      </c>
      <c r="C60" s="22" t="s">
        <v>374</v>
      </c>
      <c r="D60" s="22" t="s">
        <v>196</v>
      </c>
      <c r="E60" s="22" t="s">
        <v>332</v>
      </c>
      <c r="F60" s="22" t="s">
        <v>332</v>
      </c>
      <c r="G60" s="22" t="s">
        <v>332</v>
      </c>
      <c r="H60" s="22" t="s">
        <v>332</v>
      </c>
      <c r="I60" s="22" t="s">
        <v>332</v>
      </c>
      <c r="J60" s="22" t="s">
        <v>332</v>
      </c>
      <c r="K60" s="22" t="s">
        <v>332</v>
      </c>
    </row>
    <row r="61" ht="33" customHeight="1">
      <c r="A61" s="3" t="s">
        <v>333</v>
      </c>
      <c r="B61" s="23" t="s">
        <v>2</v>
      </c>
      <c r="C61" s="23" t="s">
        <v>334</v>
      </c>
      <c r="D61" s="23" t="s">
        <v>197</v>
      </c>
      <c r="E61" s="2">
        <v>19</v>
      </c>
      <c r="F61" s="24">
        <v>9.226</v>
      </c>
      <c r="G61" s="24">
        <v>7.098</v>
      </c>
      <c r="H61" s="2">
        <v>161</v>
      </c>
      <c r="I61" s="3" t="s">
        <v>335</v>
      </c>
      <c r="J61" s="6">
        <v>0.30962286455274785</v>
      </c>
      <c r="K61" s="4" t="s">
        <v>338</v>
      </c>
    </row>
    <row r="62" ht="20" customHeight="1">
      <c r="A62" s="3" t="s">
        <v>333</v>
      </c>
      <c r="B62" s="22" t="s">
        <v>330</v>
      </c>
      <c r="C62" s="22" t="s">
        <v>339</v>
      </c>
      <c r="D62" s="22" t="s">
        <v>375</v>
      </c>
      <c r="E62" s="22" t="s">
        <v>332</v>
      </c>
      <c r="F62" s="22" t="s">
        <v>332</v>
      </c>
      <c r="G62" s="22" t="s">
        <v>332</v>
      </c>
      <c r="H62" s="22" t="s">
        <v>332</v>
      </c>
      <c r="I62" s="22" t="s">
        <v>332</v>
      </c>
      <c r="J62" s="22" t="s">
        <v>332</v>
      </c>
      <c r="K62" s="22" t="s">
        <v>332</v>
      </c>
    </row>
    <row r="63" ht="33" customHeight="1">
      <c r="A63" s="3" t="s">
        <v>333</v>
      </c>
      <c r="B63" s="23" t="s">
        <v>2</v>
      </c>
      <c r="C63" s="23" t="s">
        <v>334</v>
      </c>
      <c r="D63" s="23" t="s">
        <v>376</v>
      </c>
      <c r="E63" s="2">
        <v>18</v>
      </c>
      <c r="F63" s="24">
        <v>6.674</v>
      </c>
      <c r="G63" s="24">
        <v>6.75</v>
      </c>
      <c r="H63" s="2">
        <v>160</v>
      </c>
      <c r="I63" s="3" t="s">
        <v>335</v>
      </c>
      <c r="J63" s="6">
        <v>0.8866475744192666</v>
      </c>
      <c r="K63" s="4" t="s">
        <v>336</v>
      </c>
    </row>
    <row r="64" ht="20" customHeight="1">
      <c r="A64" s="3" t="s">
        <v>333</v>
      </c>
      <c r="B64" s="22" t="s">
        <v>330</v>
      </c>
      <c r="C64" s="22" t="s">
        <v>377</v>
      </c>
      <c r="D64" s="22" t="s">
        <v>203</v>
      </c>
      <c r="E64" s="22" t="s">
        <v>332</v>
      </c>
      <c r="F64" s="22" t="s">
        <v>332</v>
      </c>
      <c r="G64" s="22" t="s">
        <v>332</v>
      </c>
      <c r="H64" s="22" t="s">
        <v>332</v>
      </c>
      <c r="I64" s="22" t="s">
        <v>332</v>
      </c>
      <c r="J64" s="22" t="s">
        <v>332</v>
      </c>
      <c r="K64" s="22" t="s">
        <v>332</v>
      </c>
    </row>
    <row r="65" ht="46.5" customHeight="1">
      <c r="A65" s="3" t="s">
        <v>333</v>
      </c>
      <c r="B65" s="23" t="s">
        <v>2</v>
      </c>
      <c r="C65" s="23" t="s">
        <v>334</v>
      </c>
      <c r="D65" s="23" t="s">
        <v>204</v>
      </c>
      <c r="E65" s="2">
        <v>39</v>
      </c>
      <c r="F65" s="24">
        <v>5.896</v>
      </c>
      <c r="G65" s="24">
        <v>14.586</v>
      </c>
      <c r="H65" s="2">
        <v>160</v>
      </c>
      <c r="I65" s="3" t="s">
        <v>335</v>
      </c>
      <c r="J65" s="6">
        <v>1.0</v>
      </c>
      <c r="K65" s="4" t="s">
        <v>336</v>
      </c>
    </row>
    <row r="66" ht="20" customHeight="1">
      <c r="A66" s="3" t="s">
        <v>333</v>
      </c>
      <c r="B66" s="22" t="s">
        <v>330</v>
      </c>
      <c r="C66" s="22" t="s">
        <v>378</v>
      </c>
      <c r="D66" s="22" t="s">
        <v>207</v>
      </c>
      <c r="E66" s="22" t="s">
        <v>332</v>
      </c>
      <c r="F66" s="22" t="s">
        <v>332</v>
      </c>
      <c r="G66" s="22" t="s">
        <v>332</v>
      </c>
      <c r="H66" s="22" t="s">
        <v>332</v>
      </c>
      <c r="I66" s="22" t="s">
        <v>332</v>
      </c>
      <c r="J66" s="22" t="s">
        <v>332</v>
      </c>
      <c r="K66" s="22" t="s">
        <v>332</v>
      </c>
    </row>
    <row r="67" ht="60" customHeight="1">
      <c r="A67" s="3" t="s">
        <v>333</v>
      </c>
      <c r="B67" s="23" t="s">
        <v>2</v>
      </c>
      <c r="C67" s="23" t="s">
        <v>334</v>
      </c>
      <c r="D67" s="23" t="s">
        <v>208</v>
      </c>
      <c r="E67" s="2">
        <v>34</v>
      </c>
      <c r="F67" s="24">
        <v>7.272</v>
      </c>
      <c r="G67" s="24">
        <v>13.365</v>
      </c>
      <c r="H67" s="2">
        <v>153</v>
      </c>
      <c r="I67" s="3" t="s">
        <v>335</v>
      </c>
      <c r="J67" s="6">
        <v>1.0</v>
      </c>
      <c r="K67" s="4" t="s">
        <v>336</v>
      </c>
    </row>
    <row r="68" ht="20" customHeight="1">
      <c r="A68" s="3" t="s">
        <v>333</v>
      </c>
      <c r="B68" s="22" t="s">
        <v>330</v>
      </c>
      <c r="C68" s="22" t="s">
        <v>379</v>
      </c>
      <c r="D68" s="22" t="s">
        <v>211</v>
      </c>
      <c r="E68" s="22" t="s">
        <v>332</v>
      </c>
      <c r="F68" s="22" t="s">
        <v>332</v>
      </c>
      <c r="G68" s="22" t="s">
        <v>332</v>
      </c>
      <c r="H68" s="22" t="s">
        <v>332</v>
      </c>
      <c r="I68" s="22" t="s">
        <v>332</v>
      </c>
      <c r="J68" s="22" t="s">
        <v>332</v>
      </c>
      <c r="K68" s="22" t="s">
        <v>332</v>
      </c>
    </row>
    <row r="69" ht="33" customHeight="1">
      <c r="A69" s="3" t="s">
        <v>333</v>
      </c>
      <c r="B69" s="23" t="s">
        <v>2</v>
      </c>
      <c r="C69" s="23" t="s">
        <v>334</v>
      </c>
      <c r="D69" s="23" t="s">
        <v>212</v>
      </c>
      <c r="E69" s="2">
        <v>29</v>
      </c>
      <c r="F69" s="24">
        <v>8.82</v>
      </c>
      <c r="G69" s="24">
        <v>10.465</v>
      </c>
      <c r="H69" s="2">
        <v>166</v>
      </c>
      <c r="I69" s="3" t="s">
        <v>335</v>
      </c>
      <c r="J69" s="6">
        <v>0.6382590070696035</v>
      </c>
      <c r="K69" s="4" t="s">
        <v>336</v>
      </c>
    </row>
    <row r="70" ht="20" customHeight="1">
      <c r="A70" s="3" t="s">
        <v>333</v>
      </c>
      <c r="B70" s="22" t="s">
        <v>330</v>
      </c>
      <c r="C70" s="22" t="s">
        <v>380</v>
      </c>
      <c r="D70" s="22" t="s">
        <v>217</v>
      </c>
      <c r="E70" s="22" t="s">
        <v>332</v>
      </c>
      <c r="F70" s="22" t="s">
        <v>332</v>
      </c>
      <c r="G70" s="22" t="s">
        <v>332</v>
      </c>
      <c r="H70" s="22" t="s">
        <v>332</v>
      </c>
      <c r="I70" s="22" t="s">
        <v>332</v>
      </c>
      <c r="J70" s="22" t="s">
        <v>332</v>
      </c>
      <c r="K70" s="22" t="s">
        <v>332</v>
      </c>
    </row>
    <row r="71" ht="33" customHeight="1">
      <c r="A71" s="3" t="s">
        <v>333</v>
      </c>
      <c r="B71" s="23" t="s">
        <v>2</v>
      </c>
      <c r="C71" s="23" t="s">
        <v>334</v>
      </c>
      <c r="D71" s="23" t="s">
        <v>102</v>
      </c>
      <c r="E71" s="2">
        <v>6</v>
      </c>
      <c r="F71" s="24">
        <v>8.529</v>
      </c>
      <c r="G71" s="24">
        <v>2.682</v>
      </c>
      <c r="H71" s="2">
        <v>134</v>
      </c>
      <c r="I71" s="3" t="s">
        <v>335</v>
      </c>
      <c r="J71" s="6">
        <v>0.0</v>
      </c>
      <c r="K71" s="4" t="s">
        <v>343</v>
      </c>
    </row>
    <row r="72" ht="20" customHeight="1">
      <c r="A72" s="3" t="s">
        <v>333</v>
      </c>
      <c r="B72" s="22" t="s">
        <v>330</v>
      </c>
      <c r="C72" s="22" t="s">
        <v>381</v>
      </c>
      <c r="D72" s="22" t="s">
        <v>220</v>
      </c>
      <c r="E72" s="22" t="s">
        <v>332</v>
      </c>
      <c r="F72" s="22" t="s">
        <v>332</v>
      </c>
      <c r="G72" s="22" t="s">
        <v>332</v>
      </c>
      <c r="H72" s="22" t="s">
        <v>332</v>
      </c>
      <c r="I72" s="22" t="s">
        <v>332</v>
      </c>
      <c r="J72" s="22" t="s">
        <v>332</v>
      </c>
      <c r="K72" s="22" t="s">
        <v>332</v>
      </c>
    </row>
    <row r="73" ht="33" customHeight="1">
      <c r="A73" s="3" t="s">
        <v>333</v>
      </c>
      <c r="B73" s="23" t="s">
        <v>2</v>
      </c>
      <c r="C73" s="23" t="s">
        <v>334</v>
      </c>
      <c r="D73" s="23" t="s">
        <v>221</v>
      </c>
      <c r="E73" s="2">
        <v>15</v>
      </c>
      <c r="F73" s="24">
        <v>4.454</v>
      </c>
      <c r="G73" s="24">
        <v>7.028</v>
      </c>
      <c r="H73" s="2">
        <v>128</v>
      </c>
      <c r="I73" s="3" t="s">
        <v>335</v>
      </c>
      <c r="J73" s="6">
        <v>0.37937457271343844</v>
      </c>
      <c r="K73" s="4" t="s">
        <v>338</v>
      </c>
    </row>
    <row r="74" ht="20" customHeight="1">
      <c r="A74" s="3" t="s">
        <v>333</v>
      </c>
      <c r="B74" s="22" t="s">
        <v>330</v>
      </c>
      <c r="C74" s="22" t="s">
        <v>339</v>
      </c>
      <c r="D74" s="22" t="s">
        <v>382</v>
      </c>
      <c r="E74" s="22" t="s">
        <v>332</v>
      </c>
      <c r="F74" s="22" t="s">
        <v>332</v>
      </c>
      <c r="G74" s="22" t="s">
        <v>332</v>
      </c>
      <c r="H74" s="22" t="s">
        <v>332</v>
      </c>
      <c r="I74" s="22" t="s">
        <v>332</v>
      </c>
      <c r="J74" s="22" t="s">
        <v>332</v>
      </c>
      <c r="K74" s="22" t="s">
        <v>332</v>
      </c>
    </row>
    <row r="75" ht="33" customHeight="1">
      <c r="A75" s="3" t="s">
        <v>333</v>
      </c>
      <c r="B75" s="23" t="s">
        <v>2</v>
      </c>
      <c r="C75" s="23" t="s">
        <v>334</v>
      </c>
      <c r="D75" s="23" t="s">
        <v>383</v>
      </c>
      <c r="E75" s="2">
        <v>20</v>
      </c>
      <c r="F75" s="24">
        <v>6.637</v>
      </c>
      <c r="G75" s="24">
        <v>10.83</v>
      </c>
      <c r="H75" s="2">
        <v>111</v>
      </c>
      <c r="I75" s="3" t="s">
        <v>335</v>
      </c>
      <c r="J75" s="6">
        <v>0.8413795401480615</v>
      </c>
      <c r="K75" s="4" t="s">
        <v>336</v>
      </c>
    </row>
    <row r="76" ht="20" customHeight="1">
      <c r="A76" s="3" t="s">
        <v>333</v>
      </c>
      <c r="B76" s="22" t="s">
        <v>330</v>
      </c>
      <c r="C76" s="22" t="s">
        <v>384</v>
      </c>
      <c r="D76" s="22" t="s">
        <v>226</v>
      </c>
      <c r="E76" s="22" t="s">
        <v>332</v>
      </c>
      <c r="F76" s="22" t="s">
        <v>332</v>
      </c>
      <c r="G76" s="22" t="s">
        <v>332</v>
      </c>
      <c r="H76" s="22" t="s">
        <v>332</v>
      </c>
      <c r="I76" s="22" t="s">
        <v>332</v>
      </c>
      <c r="J76" s="22" t="s">
        <v>332</v>
      </c>
      <c r="K76" s="22" t="s">
        <v>332</v>
      </c>
    </row>
    <row r="77" ht="60" customHeight="1">
      <c r="A77" s="3" t="s">
        <v>333</v>
      </c>
      <c r="B77" s="23" t="s">
        <v>2</v>
      </c>
      <c r="C77" s="23" t="s">
        <v>334</v>
      </c>
      <c r="D77" s="23" t="s">
        <v>227</v>
      </c>
      <c r="E77" s="2">
        <v>45</v>
      </c>
      <c r="F77" s="24">
        <v>6.114</v>
      </c>
      <c r="G77" s="24">
        <v>21.824</v>
      </c>
      <c r="H77" s="2">
        <v>124</v>
      </c>
      <c r="I77" s="3" t="s">
        <v>335</v>
      </c>
      <c r="J77" s="6">
        <v>0.970194360850868</v>
      </c>
      <c r="K77" s="4" t="s">
        <v>336</v>
      </c>
    </row>
    <row r="78" ht="20" customHeight="1">
      <c r="A78" s="3" t="s">
        <v>333</v>
      </c>
      <c r="B78" s="22" t="s">
        <v>330</v>
      </c>
      <c r="C78" s="22" t="s">
        <v>385</v>
      </c>
      <c r="D78" s="22" t="s">
        <v>230</v>
      </c>
      <c r="E78" s="22" t="s">
        <v>332</v>
      </c>
      <c r="F78" s="22" t="s">
        <v>332</v>
      </c>
      <c r="G78" s="22" t="s">
        <v>332</v>
      </c>
      <c r="H78" s="22" t="s">
        <v>332</v>
      </c>
      <c r="I78" s="22" t="s">
        <v>332</v>
      </c>
      <c r="J78" s="22" t="s">
        <v>332</v>
      </c>
      <c r="K78" s="22" t="s">
        <v>332</v>
      </c>
    </row>
    <row r="79" ht="60" customHeight="1">
      <c r="A79" s="3" t="s">
        <v>333</v>
      </c>
      <c r="B79" s="23" t="s">
        <v>2</v>
      </c>
      <c r="C79" s="23" t="s">
        <v>334</v>
      </c>
      <c r="D79" s="23" t="s">
        <v>231</v>
      </c>
      <c r="E79" s="2">
        <v>37</v>
      </c>
      <c r="F79" s="24">
        <v>8.98</v>
      </c>
      <c r="G79" s="24">
        <v>20.556</v>
      </c>
      <c r="H79" s="2">
        <v>108</v>
      </c>
      <c r="I79" s="3" t="s">
        <v>335</v>
      </c>
      <c r="J79" s="6">
        <v>1.0</v>
      </c>
      <c r="K79" s="4" t="s">
        <v>336</v>
      </c>
    </row>
    <row r="80" ht="20" customHeight="1">
      <c r="A80" s="3" t="s">
        <v>333</v>
      </c>
      <c r="B80" s="22" t="s">
        <v>330</v>
      </c>
      <c r="C80" s="22" t="s">
        <v>386</v>
      </c>
      <c r="D80" s="22" t="s">
        <v>235</v>
      </c>
      <c r="E80" s="22" t="s">
        <v>332</v>
      </c>
      <c r="F80" s="22" t="s">
        <v>332</v>
      </c>
      <c r="G80" s="22" t="s">
        <v>332</v>
      </c>
      <c r="H80" s="22" t="s">
        <v>332</v>
      </c>
      <c r="I80" s="22" t="s">
        <v>332</v>
      </c>
      <c r="J80" s="22" t="s">
        <v>332</v>
      </c>
      <c r="K80" s="22" t="s">
        <v>332</v>
      </c>
    </row>
    <row r="81" ht="33" customHeight="1">
      <c r="A81" s="3" t="s">
        <v>333</v>
      </c>
      <c r="B81" s="23" t="s">
        <v>2</v>
      </c>
      <c r="C81" s="23" t="s">
        <v>334</v>
      </c>
      <c r="D81" s="23" t="s">
        <v>236</v>
      </c>
      <c r="E81" s="2">
        <v>17</v>
      </c>
      <c r="F81" s="24">
        <v>4.031</v>
      </c>
      <c r="G81" s="24">
        <v>8.064</v>
      </c>
      <c r="H81" s="2">
        <v>126</v>
      </c>
      <c r="I81" s="3" t="s">
        <v>335</v>
      </c>
      <c r="J81" s="6">
        <v>0.5554699191634478</v>
      </c>
      <c r="K81" s="4" t="s">
        <v>336</v>
      </c>
    </row>
    <row r="82" ht="20" customHeight="1">
      <c r="A82" s="3" t="s">
        <v>333</v>
      </c>
      <c r="B82" s="22" t="s">
        <v>330</v>
      </c>
      <c r="C82" s="22" t="s">
        <v>387</v>
      </c>
      <c r="D82" s="22" t="s">
        <v>240</v>
      </c>
      <c r="E82" s="22" t="s">
        <v>332</v>
      </c>
      <c r="F82" s="22" t="s">
        <v>332</v>
      </c>
      <c r="G82" s="22" t="s">
        <v>332</v>
      </c>
      <c r="H82" s="22" t="s">
        <v>332</v>
      </c>
      <c r="I82" s="22" t="s">
        <v>332</v>
      </c>
      <c r="J82" s="22" t="s">
        <v>332</v>
      </c>
      <c r="K82" s="22" t="s">
        <v>332</v>
      </c>
    </row>
    <row r="83" ht="33" customHeight="1">
      <c r="A83" s="3" t="s">
        <v>333</v>
      </c>
      <c r="B83" s="23" t="s">
        <v>2</v>
      </c>
      <c r="C83" s="23" t="s">
        <v>334</v>
      </c>
      <c r="D83" s="23" t="s">
        <v>102</v>
      </c>
      <c r="E83" s="2">
        <v>6</v>
      </c>
      <c r="F83" s="24">
        <v>6.176</v>
      </c>
      <c r="G83" s="24">
        <v>3.564</v>
      </c>
      <c r="H83" s="2">
        <v>101</v>
      </c>
      <c r="I83" s="3" t="s">
        <v>335</v>
      </c>
      <c r="J83" s="6">
        <v>0.0</v>
      </c>
      <c r="K83" s="4" t="s">
        <v>343</v>
      </c>
    </row>
    <row r="84" ht="20" customHeight="1">
      <c r="A84" s="3" t="s">
        <v>333</v>
      </c>
      <c r="B84" s="22" t="s">
        <v>330</v>
      </c>
      <c r="C84" s="22" t="s">
        <v>388</v>
      </c>
      <c r="D84" s="22" t="s">
        <v>242</v>
      </c>
      <c r="E84" s="22" t="s">
        <v>332</v>
      </c>
      <c r="F84" s="22" t="s">
        <v>332</v>
      </c>
      <c r="G84" s="22" t="s">
        <v>332</v>
      </c>
      <c r="H84" s="22" t="s">
        <v>332</v>
      </c>
      <c r="I84" s="22" t="s">
        <v>332</v>
      </c>
      <c r="J84" s="22" t="s">
        <v>332</v>
      </c>
      <c r="K84" s="22" t="s">
        <v>332</v>
      </c>
    </row>
    <row r="85" ht="33" customHeight="1">
      <c r="A85" s="3" t="s">
        <v>333</v>
      </c>
      <c r="B85" s="23" t="s">
        <v>2</v>
      </c>
      <c r="C85" s="23" t="s">
        <v>334</v>
      </c>
      <c r="D85" s="23" t="s">
        <v>243</v>
      </c>
      <c r="E85" s="2">
        <v>15</v>
      </c>
      <c r="F85" s="24">
        <v>9.787</v>
      </c>
      <c r="G85" s="24">
        <v>5.404</v>
      </c>
      <c r="H85" s="2">
        <v>167</v>
      </c>
      <c r="I85" s="3" t="s">
        <v>335</v>
      </c>
      <c r="J85" s="6">
        <v>0.20636829336816467</v>
      </c>
      <c r="K85" s="4" t="s">
        <v>338</v>
      </c>
    </row>
    <row r="86" ht="20" customHeight="1">
      <c r="A86" s="3" t="s">
        <v>333</v>
      </c>
      <c r="B86" s="22" t="s">
        <v>330</v>
      </c>
      <c r="C86" s="22" t="s">
        <v>339</v>
      </c>
      <c r="D86" s="22" t="s">
        <v>389</v>
      </c>
      <c r="E86" s="22" t="s">
        <v>332</v>
      </c>
      <c r="F86" s="22" t="s">
        <v>332</v>
      </c>
      <c r="G86" s="22" t="s">
        <v>332</v>
      </c>
      <c r="H86" s="22" t="s">
        <v>332</v>
      </c>
      <c r="I86" s="22" t="s">
        <v>332</v>
      </c>
      <c r="J86" s="22" t="s">
        <v>332</v>
      </c>
      <c r="K86" s="22" t="s">
        <v>332</v>
      </c>
    </row>
    <row r="87" ht="33" customHeight="1">
      <c r="A87" s="3" t="s">
        <v>333</v>
      </c>
      <c r="B87" s="23" t="s">
        <v>2</v>
      </c>
      <c r="C87" s="23" t="s">
        <v>334</v>
      </c>
      <c r="D87" s="23" t="s">
        <v>390</v>
      </c>
      <c r="E87" s="2">
        <v>18</v>
      </c>
      <c r="F87" s="24">
        <v>1.997</v>
      </c>
      <c r="G87" s="24">
        <v>6.408</v>
      </c>
      <c r="H87" s="2">
        <v>169</v>
      </c>
      <c r="I87" s="3" t="s">
        <v>335</v>
      </c>
      <c r="J87" s="6">
        <v>0.8358405673815329</v>
      </c>
      <c r="K87" s="4" t="s">
        <v>336</v>
      </c>
    </row>
    <row r="88" ht="20" customHeight="1">
      <c r="A88" s="3" t="s">
        <v>333</v>
      </c>
      <c r="B88" s="22" t="s">
        <v>330</v>
      </c>
      <c r="C88" s="22" t="s">
        <v>391</v>
      </c>
      <c r="D88" s="22" t="s">
        <v>249</v>
      </c>
      <c r="E88" s="22" t="s">
        <v>332</v>
      </c>
      <c r="F88" s="22" t="s">
        <v>332</v>
      </c>
      <c r="G88" s="22" t="s">
        <v>332</v>
      </c>
      <c r="H88" s="22" t="s">
        <v>332</v>
      </c>
      <c r="I88" s="22" t="s">
        <v>332</v>
      </c>
      <c r="J88" s="22" t="s">
        <v>332</v>
      </c>
      <c r="K88" s="22" t="s">
        <v>332</v>
      </c>
    </row>
    <row r="89" ht="60" customHeight="1">
      <c r="A89" s="3" t="s">
        <v>333</v>
      </c>
      <c r="B89" s="23" t="s">
        <v>2</v>
      </c>
      <c r="C89" s="23" t="s">
        <v>334</v>
      </c>
      <c r="D89" s="23" t="s">
        <v>250</v>
      </c>
      <c r="E89" s="2">
        <v>46</v>
      </c>
      <c r="F89" s="24">
        <v>4.208</v>
      </c>
      <c r="G89" s="24">
        <v>20.295</v>
      </c>
      <c r="H89" s="2">
        <v>136</v>
      </c>
      <c r="I89" s="3" t="s">
        <v>335</v>
      </c>
      <c r="J89" s="6">
        <v>1.0</v>
      </c>
      <c r="K89" s="4" t="s">
        <v>336</v>
      </c>
    </row>
    <row r="90" ht="20" customHeight="1">
      <c r="A90" s="3" t="s">
        <v>333</v>
      </c>
      <c r="B90" s="22" t="s">
        <v>330</v>
      </c>
      <c r="C90" s="22" t="s">
        <v>392</v>
      </c>
      <c r="D90" s="22" t="s">
        <v>253</v>
      </c>
      <c r="E90" s="22" t="s">
        <v>332</v>
      </c>
      <c r="F90" s="22" t="s">
        <v>332</v>
      </c>
      <c r="G90" s="22" t="s">
        <v>332</v>
      </c>
      <c r="H90" s="22" t="s">
        <v>332</v>
      </c>
      <c r="I90" s="22" t="s">
        <v>332</v>
      </c>
      <c r="J90" s="22" t="s">
        <v>332</v>
      </c>
      <c r="K90" s="22" t="s">
        <v>332</v>
      </c>
    </row>
    <row r="91" ht="60" customHeight="1">
      <c r="A91" s="3" t="s">
        <v>333</v>
      </c>
      <c r="B91" s="23" t="s">
        <v>2</v>
      </c>
      <c r="C91" s="23" t="s">
        <v>334</v>
      </c>
      <c r="D91" s="23" t="s">
        <v>254</v>
      </c>
      <c r="E91" s="2">
        <v>40</v>
      </c>
      <c r="F91" s="24">
        <v>6.825</v>
      </c>
      <c r="G91" s="24">
        <v>17.92</v>
      </c>
      <c r="H91" s="2">
        <v>134</v>
      </c>
      <c r="I91" s="3" t="s">
        <v>335</v>
      </c>
      <c r="J91" s="6">
        <v>1.0</v>
      </c>
      <c r="K91" s="4" t="s">
        <v>336</v>
      </c>
    </row>
    <row r="92" ht="20" customHeight="1">
      <c r="A92" s="3" t="s">
        <v>333</v>
      </c>
      <c r="B92" s="22" t="s">
        <v>330</v>
      </c>
      <c r="C92" s="22" t="s">
        <v>393</v>
      </c>
      <c r="D92" s="22" t="s">
        <v>257</v>
      </c>
      <c r="E92" s="22" t="s">
        <v>332</v>
      </c>
      <c r="F92" s="22" t="s">
        <v>332</v>
      </c>
      <c r="G92" s="22" t="s">
        <v>332</v>
      </c>
      <c r="H92" s="22" t="s">
        <v>332</v>
      </c>
      <c r="I92" s="22" t="s">
        <v>332</v>
      </c>
      <c r="J92" s="22" t="s">
        <v>332</v>
      </c>
      <c r="K92" s="22" t="s">
        <v>332</v>
      </c>
    </row>
    <row r="93" ht="33" customHeight="1">
      <c r="A93" s="3" t="s">
        <v>333</v>
      </c>
      <c r="B93" s="23" t="s">
        <v>2</v>
      </c>
      <c r="C93" s="23" t="s">
        <v>334</v>
      </c>
      <c r="D93" s="23" t="s">
        <v>258</v>
      </c>
      <c r="E93" s="2">
        <v>23</v>
      </c>
      <c r="F93" s="24">
        <v>4.406</v>
      </c>
      <c r="G93" s="24">
        <v>7.942</v>
      </c>
      <c r="H93" s="2">
        <v>174</v>
      </c>
      <c r="I93" s="3" t="s">
        <v>335</v>
      </c>
      <c r="J93" s="6">
        <v>0.405137897369764</v>
      </c>
      <c r="K93" s="4" t="s">
        <v>338</v>
      </c>
    </row>
    <row r="94" ht="20" customHeight="1">
      <c r="A94" s="3" t="s">
        <v>333</v>
      </c>
      <c r="B94" s="22" t="s">
        <v>330</v>
      </c>
      <c r="C94" s="22" t="s">
        <v>339</v>
      </c>
      <c r="D94" s="22" t="s">
        <v>394</v>
      </c>
      <c r="E94" s="22" t="s">
        <v>332</v>
      </c>
      <c r="F94" s="22" t="s">
        <v>332</v>
      </c>
      <c r="G94" s="22" t="s">
        <v>332</v>
      </c>
      <c r="H94" s="22" t="s">
        <v>332</v>
      </c>
      <c r="I94" s="22" t="s">
        <v>332</v>
      </c>
      <c r="J94" s="22" t="s">
        <v>332</v>
      </c>
      <c r="K94" s="22" t="s">
        <v>332</v>
      </c>
    </row>
    <row r="95" ht="33" customHeight="1">
      <c r="A95" s="3" t="s">
        <v>333</v>
      </c>
      <c r="B95" s="23" t="s">
        <v>2</v>
      </c>
      <c r="C95" s="23" t="s">
        <v>334</v>
      </c>
      <c r="D95" s="23" t="s">
        <v>395</v>
      </c>
      <c r="E95" s="2">
        <v>19</v>
      </c>
      <c r="F95" s="24">
        <v>7.787</v>
      </c>
      <c r="G95" s="24">
        <v>7.74</v>
      </c>
      <c r="H95" s="2">
        <v>147</v>
      </c>
      <c r="I95" s="3" t="s">
        <v>335</v>
      </c>
      <c r="J95" s="6">
        <v>0.8138540157177054</v>
      </c>
      <c r="K95" s="4" t="s">
        <v>336</v>
      </c>
    </row>
    <row r="96" ht="20" customHeight="1">
      <c r="A96" s="3" t="s">
        <v>333</v>
      </c>
      <c r="B96" s="22" t="s">
        <v>330</v>
      </c>
      <c r="C96" s="22" t="s">
        <v>396</v>
      </c>
      <c r="D96" s="22" t="s">
        <v>263</v>
      </c>
      <c r="E96" s="22" t="s">
        <v>332</v>
      </c>
      <c r="F96" s="22" t="s">
        <v>332</v>
      </c>
      <c r="G96" s="22" t="s">
        <v>332</v>
      </c>
      <c r="H96" s="22" t="s">
        <v>332</v>
      </c>
      <c r="I96" s="22" t="s">
        <v>332</v>
      </c>
      <c r="J96" s="22" t="s">
        <v>332</v>
      </c>
      <c r="K96" s="22" t="s">
        <v>332</v>
      </c>
    </row>
    <row r="97" ht="33" customHeight="1">
      <c r="A97" s="3" t="s">
        <v>333</v>
      </c>
      <c r="B97" s="23" t="s">
        <v>2</v>
      </c>
      <c r="C97" s="23" t="s">
        <v>334</v>
      </c>
      <c r="D97" s="23" t="s">
        <v>102</v>
      </c>
      <c r="E97" s="2">
        <v>6</v>
      </c>
      <c r="F97" s="24">
        <v>9.326</v>
      </c>
      <c r="G97" s="24">
        <v>2.886</v>
      </c>
      <c r="H97" s="2">
        <v>125</v>
      </c>
      <c r="I97" s="3" t="s">
        <v>335</v>
      </c>
      <c r="J97" s="6">
        <v>0.0</v>
      </c>
      <c r="K97" s="4" t="s">
        <v>343</v>
      </c>
    </row>
    <row r="98" ht="20" customHeight="1">
      <c r="A98" s="3" t="s">
        <v>333</v>
      </c>
      <c r="B98" s="22" t="s">
        <v>330</v>
      </c>
      <c r="C98" s="22" t="s">
        <v>397</v>
      </c>
      <c r="D98" s="22" t="s">
        <v>265</v>
      </c>
      <c r="E98" s="22" t="s">
        <v>332</v>
      </c>
      <c r="F98" s="22" t="s">
        <v>332</v>
      </c>
      <c r="G98" s="22" t="s">
        <v>332</v>
      </c>
      <c r="H98" s="22" t="s">
        <v>332</v>
      </c>
      <c r="I98" s="22" t="s">
        <v>332</v>
      </c>
      <c r="J98" s="22" t="s">
        <v>332</v>
      </c>
      <c r="K98" s="22" t="s">
        <v>332</v>
      </c>
    </row>
    <row r="99" ht="33" customHeight="1">
      <c r="A99" s="3" t="s">
        <v>333</v>
      </c>
      <c r="B99" s="23" t="s">
        <v>2</v>
      </c>
      <c r="C99" s="23" t="s">
        <v>334</v>
      </c>
      <c r="D99" s="23" t="s">
        <v>266</v>
      </c>
      <c r="E99" s="2">
        <v>15</v>
      </c>
      <c r="F99" s="24">
        <v>5.74</v>
      </c>
      <c r="G99" s="24">
        <v>6.426</v>
      </c>
      <c r="H99" s="2">
        <v>140</v>
      </c>
      <c r="I99" s="3" t="s">
        <v>335</v>
      </c>
      <c r="J99" s="6">
        <v>0.373204138836636</v>
      </c>
      <c r="K99" s="4" t="s">
        <v>338</v>
      </c>
    </row>
    <row r="100" ht="20" customHeight="1">
      <c r="A100" s="3" t="s">
        <v>333</v>
      </c>
      <c r="B100" s="22" t="s">
        <v>330</v>
      </c>
      <c r="C100" s="22" t="s">
        <v>339</v>
      </c>
      <c r="D100" s="22" t="s">
        <v>398</v>
      </c>
      <c r="E100" s="22" t="s">
        <v>332</v>
      </c>
      <c r="F100" s="22" t="s">
        <v>332</v>
      </c>
      <c r="G100" s="22" t="s">
        <v>332</v>
      </c>
      <c r="H100" s="22" t="s">
        <v>332</v>
      </c>
      <c r="I100" s="22" t="s">
        <v>332</v>
      </c>
      <c r="J100" s="22" t="s">
        <v>332</v>
      </c>
      <c r="K100" s="22" t="s">
        <v>332</v>
      </c>
    </row>
    <row r="101" ht="33" customHeight="1">
      <c r="A101" s="3" t="s">
        <v>333</v>
      </c>
      <c r="B101" s="23" t="s">
        <v>2</v>
      </c>
      <c r="C101" s="23" t="s">
        <v>334</v>
      </c>
      <c r="D101" s="23" t="s">
        <v>399</v>
      </c>
      <c r="E101" s="2">
        <v>20</v>
      </c>
      <c r="F101" s="24">
        <v>1.745</v>
      </c>
      <c r="G101" s="24">
        <v>8.19</v>
      </c>
      <c r="H101" s="2">
        <v>147</v>
      </c>
      <c r="I101" s="3" t="s">
        <v>335</v>
      </c>
      <c r="J101" s="6">
        <v>0.7868663716435914</v>
      </c>
      <c r="K101" s="4" t="s">
        <v>336</v>
      </c>
    </row>
    <row r="102" ht="20" customHeight="1">
      <c r="A102" s="3" t="s">
        <v>333</v>
      </c>
      <c r="B102" s="22" t="s">
        <v>330</v>
      </c>
      <c r="C102" s="22" t="s">
        <v>400</v>
      </c>
      <c r="D102" s="22" t="s">
        <v>271</v>
      </c>
      <c r="E102" s="22" t="s">
        <v>332</v>
      </c>
      <c r="F102" s="22" t="s">
        <v>332</v>
      </c>
      <c r="G102" s="22" t="s">
        <v>332</v>
      </c>
      <c r="H102" s="22" t="s">
        <v>332</v>
      </c>
      <c r="I102" s="22" t="s">
        <v>332</v>
      </c>
      <c r="J102" s="22" t="s">
        <v>332</v>
      </c>
      <c r="K102" s="22" t="s">
        <v>332</v>
      </c>
    </row>
    <row r="103" ht="73.5" customHeight="1">
      <c r="A103" s="3" t="s">
        <v>333</v>
      </c>
      <c r="B103" s="23" t="s">
        <v>2</v>
      </c>
      <c r="C103" s="23" t="s">
        <v>334</v>
      </c>
      <c r="D103" s="23" t="s">
        <v>272</v>
      </c>
      <c r="E103" s="2">
        <v>46</v>
      </c>
      <c r="F103" s="24">
        <v>1.948</v>
      </c>
      <c r="G103" s="24">
        <v>19.136</v>
      </c>
      <c r="H103" s="2">
        <v>144</v>
      </c>
      <c r="I103" s="3" t="s">
        <v>335</v>
      </c>
      <c r="J103" s="6">
        <v>1.0</v>
      </c>
      <c r="K103" s="4" t="s">
        <v>336</v>
      </c>
    </row>
    <row r="104" ht="20" customHeight="1">
      <c r="A104" s="3" t="s">
        <v>333</v>
      </c>
      <c r="B104" s="22" t="s">
        <v>330</v>
      </c>
      <c r="C104" s="22" t="s">
        <v>401</v>
      </c>
      <c r="D104" s="22" t="s">
        <v>275</v>
      </c>
      <c r="E104" s="22" t="s">
        <v>332</v>
      </c>
      <c r="F104" s="22" t="s">
        <v>332</v>
      </c>
      <c r="G104" s="22" t="s">
        <v>332</v>
      </c>
      <c r="H104" s="22" t="s">
        <v>332</v>
      </c>
      <c r="I104" s="22" t="s">
        <v>332</v>
      </c>
      <c r="J104" s="22" t="s">
        <v>332</v>
      </c>
      <c r="K104" s="22" t="s">
        <v>332</v>
      </c>
    </row>
    <row r="105" ht="60" customHeight="1">
      <c r="A105" s="3" t="s">
        <v>333</v>
      </c>
      <c r="B105" s="23" t="s">
        <v>2</v>
      </c>
      <c r="C105" s="23" t="s">
        <v>334</v>
      </c>
      <c r="D105" s="23" t="s">
        <v>276</v>
      </c>
      <c r="E105" s="2">
        <v>44</v>
      </c>
      <c r="F105" s="24">
        <v>7.291</v>
      </c>
      <c r="G105" s="24">
        <v>15.624</v>
      </c>
      <c r="H105" s="2">
        <v>169</v>
      </c>
      <c r="I105" s="3" t="s">
        <v>335</v>
      </c>
      <c r="J105" s="6">
        <v>1.0</v>
      </c>
      <c r="K105" s="4" t="s">
        <v>336</v>
      </c>
    </row>
    <row r="106" ht="20" customHeight="1">
      <c r="A106" s="3" t="s">
        <v>333</v>
      </c>
      <c r="B106" s="22" t="s">
        <v>330</v>
      </c>
      <c r="C106" s="22" t="s">
        <v>402</v>
      </c>
      <c r="D106" s="22" t="s">
        <v>279</v>
      </c>
      <c r="E106" s="22" t="s">
        <v>332</v>
      </c>
      <c r="F106" s="22" t="s">
        <v>332</v>
      </c>
      <c r="G106" s="22" t="s">
        <v>332</v>
      </c>
      <c r="H106" s="22" t="s">
        <v>332</v>
      </c>
      <c r="I106" s="22" t="s">
        <v>332</v>
      </c>
      <c r="J106" s="22" t="s">
        <v>332</v>
      </c>
      <c r="K106" s="22" t="s">
        <v>332</v>
      </c>
    </row>
    <row r="107" ht="33" customHeight="1">
      <c r="A107" s="3" t="s">
        <v>333</v>
      </c>
      <c r="B107" s="23" t="s">
        <v>2</v>
      </c>
      <c r="C107" s="23" t="s">
        <v>334</v>
      </c>
      <c r="D107" s="23" t="s">
        <v>280</v>
      </c>
      <c r="E107" s="2">
        <v>22</v>
      </c>
      <c r="F107" s="24">
        <v>2.795</v>
      </c>
      <c r="G107" s="24">
        <v>10.227</v>
      </c>
      <c r="H107" s="2">
        <v>129</v>
      </c>
      <c r="I107" s="3" t="s">
        <v>335</v>
      </c>
      <c r="J107" s="6">
        <v>0.5016907124013507</v>
      </c>
      <c r="K107" s="4" t="s">
        <v>338</v>
      </c>
    </row>
    <row r="108" ht="20" customHeight="1">
      <c r="A108" s="3" t="s">
        <v>333</v>
      </c>
      <c r="B108" s="22" t="s">
        <v>330</v>
      </c>
      <c r="C108" s="22" t="s">
        <v>339</v>
      </c>
      <c r="D108" s="22" t="s">
        <v>403</v>
      </c>
      <c r="E108" s="22" t="s">
        <v>332</v>
      </c>
      <c r="F108" s="22" t="s">
        <v>332</v>
      </c>
      <c r="G108" s="22" t="s">
        <v>332</v>
      </c>
      <c r="H108" s="22" t="s">
        <v>332</v>
      </c>
      <c r="I108" s="22" t="s">
        <v>332</v>
      </c>
      <c r="J108" s="22" t="s">
        <v>332</v>
      </c>
      <c r="K108" s="22" t="s">
        <v>332</v>
      </c>
    </row>
    <row r="109" ht="33" customHeight="1">
      <c r="A109" s="3" t="s">
        <v>333</v>
      </c>
      <c r="B109" s="23" t="s">
        <v>2</v>
      </c>
      <c r="C109" s="23" t="s">
        <v>334</v>
      </c>
      <c r="D109" s="23" t="s">
        <v>404</v>
      </c>
      <c r="E109" s="2">
        <v>25</v>
      </c>
      <c r="F109" s="24">
        <v>7.215</v>
      </c>
      <c r="G109" s="24">
        <v>9.03</v>
      </c>
      <c r="H109" s="2">
        <v>166</v>
      </c>
      <c r="I109" s="3" t="s">
        <v>335</v>
      </c>
      <c r="J109" s="6">
        <v>1.0</v>
      </c>
      <c r="K109" s="4" t="s">
        <v>336</v>
      </c>
    </row>
    <row r="110" ht="20" customHeight="1">
      <c r="A110" s="3" t="s">
        <v>333</v>
      </c>
      <c r="B110" s="22" t="s">
        <v>330</v>
      </c>
      <c r="C110" s="22" t="s">
        <v>405</v>
      </c>
      <c r="D110" s="22" t="s">
        <v>284</v>
      </c>
      <c r="E110" s="22" t="s">
        <v>332</v>
      </c>
      <c r="F110" s="22" t="s">
        <v>332</v>
      </c>
      <c r="G110" s="22" t="s">
        <v>332</v>
      </c>
      <c r="H110" s="22" t="s">
        <v>332</v>
      </c>
      <c r="I110" s="22" t="s">
        <v>332</v>
      </c>
      <c r="J110" s="22" t="s">
        <v>332</v>
      </c>
      <c r="K110" s="22" t="s">
        <v>332</v>
      </c>
    </row>
    <row r="111" ht="33" customHeight="1">
      <c r="A111" s="3" t="s">
        <v>333</v>
      </c>
      <c r="B111" s="23" t="s">
        <v>2</v>
      </c>
      <c r="C111" s="23" t="s">
        <v>334</v>
      </c>
      <c r="D111" s="23" t="s">
        <v>102</v>
      </c>
      <c r="E111" s="2">
        <v>6</v>
      </c>
      <c r="F111" s="24">
        <v>1.334</v>
      </c>
      <c r="G111" s="24">
        <v>2.778</v>
      </c>
      <c r="H111" s="2">
        <v>130</v>
      </c>
      <c r="I111" s="3" t="s">
        <v>335</v>
      </c>
      <c r="J111" s="6">
        <v>0.0</v>
      </c>
      <c r="K111" s="4" t="s">
        <v>343</v>
      </c>
    </row>
    <row r="112" ht="20" customHeight="1">
      <c r="A112" s="3" t="s">
        <v>333</v>
      </c>
      <c r="B112" s="22" t="s">
        <v>330</v>
      </c>
      <c r="C112" s="22" t="s">
        <v>406</v>
      </c>
      <c r="D112" s="22" t="s">
        <v>286</v>
      </c>
      <c r="E112" s="22" t="s">
        <v>332</v>
      </c>
      <c r="F112" s="22" t="s">
        <v>332</v>
      </c>
      <c r="G112" s="22" t="s">
        <v>332</v>
      </c>
      <c r="H112" s="22" t="s">
        <v>332</v>
      </c>
      <c r="I112" s="22" t="s">
        <v>332</v>
      </c>
      <c r="J112" s="22" t="s">
        <v>332</v>
      </c>
      <c r="K112" s="22" t="s">
        <v>332</v>
      </c>
    </row>
    <row r="113" ht="33" customHeight="1">
      <c r="A113" s="3" t="s">
        <v>333</v>
      </c>
      <c r="B113" s="23" t="s">
        <v>2</v>
      </c>
      <c r="C113" s="23" t="s">
        <v>334</v>
      </c>
      <c r="D113" s="23" t="s">
        <v>287</v>
      </c>
      <c r="E113" s="2">
        <v>15</v>
      </c>
      <c r="F113" s="24">
        <v>2.792</v>
      </c>
      <c r="G113" s="24">
        <v>7.574</v>
      </c>
      <c r="H113" s="2">
        <v>119</v>
      </c>
      <c r="I113" s="3" t="s">
        <v>335</v>
      </c>
      <c r="J113" s="6">
        <v>0.2758507271141988</v>
      </c>
      <c r="K113" s="4" t="s">
        <v>338</v>
      </c>
    </row>
    <row r="114" ht="20" customHeight="1">
      <c r="A114" s="3" t="s">
        <v>333</v>
      </c>
      <c r="B114" s="22" t="s">
        <v>330</v>
      </c>
      <c r="C114" s="22" t="s">
        <v>339</v>
      </c>
      <c r="D114" s="22" t="s">
        <v>407</v>
      </c>
      <c r="E114" s="22" t="s">
        <v>332</v>
      </c>
      <c r="F114" s="22" t="s">
        <v>332</v>
      </c>
      <c r="G114" s="22" t="s">
        <v>332</v>
      </c>
      <c r="H114" s="22" t="s">
        <v>332</v>
      </c>
      <c r="I114" s="22" t="s">
        <v>332</v>
      </c>
      <c r="J114" s="22" t="s">
        <v>332</v>
      </c>
      <c r="K114" s="22" t="s">
        <v>332</v>
      </c>
    </row>
    <row r="115" ht="33" customHeight="1">
      <c r="A115" s="3" t="s">
        <v>333</v>
      </c>
      <c r="B115" s="23" t="s">
        <v>2</v>
      </c>
      <c r="C115" s="23" t="s">
        <v>334</v>
      </c>
      <c r="D115" s="23" t="s">
        <v>408</v>
      </c>
      <c r="E115" s="2">
        <v>20</v>
      </c>
      <c r="F115" s="24">
        <v>3.857</v>
      </c>
      <c r="G115" s="24">
        <v>6.726</v>
      </c>
      <c r="H115" s="2">
        <v>178</v>
      </c>
      <c r="I115" s="3" t="s">
        <v>335</v>
      </c>
      <c r="J115" s="6">
        <v>0.9266912711689553</v>
      </c>
      <c r="K115" s="4" t="s">
        <v>336</v>
      </c>
    </row>
    <row r="116" ht="20" customHeight="1">
      <c r="A116" s="3" t="s">
        <v>333</v>
      </c>
      <c r="B116" s="22" t="s">
        <v>330</v>
      </c>
      <c r="C116" s="22" t="s">
        <v>409</v>
      </c>
      <c r="D116" s="22" t="s">
        <v>292</v>
      </c>
      <c r="E116" s="22" t="s">
        <v>332</v>
      </c>
      <c r="F116" s="22" t="s">
        <v>332</v>
      </c>
      <c r="G116" s="22" t="s">
        <v>332</v>
      </c>
      <c r="H116" s="22" t="s">
        <v>332</v>
      </c>
      <c r="I116" s="22" t="s">
        <v>332</v>
      </c>
      <c r="J116" s="22" t="s">
        <v>332</v>
      </c>
      <c r="K116" s="22" t="s">
        <v>332</v>
      </c>
    </row>
    <row r="117" ht="73.5" customHeight="1">
      <c r="A117" s="3" t="s">
        <v>333</v>
      </c>
      <c r="B117" s="23" t="s">
        <v>2</v>
      </c>
      <c r="C117" s="23" t="s">
        <v>334</v>
      </c>
      <c r="D117" s="23" t="s">
        <v>293</v>
      </c>
      <c r="E117" s="2">
        <v>50</v>
      </c>
      <c r="F117" s="24">
        <v>3.978</v>
      </c>
      <c r="G117" s="24">
        <v>28.08</v>
      </c>
      <c r="H117" s="2">
        <v>107</v>
      </c>
      <c r="I117" s="3" t="s">
        <v>335</v>
      </c>
      <c r="J117" s="6">
        <v>1.0</v>
      </c>
      <c r="K117" s="4" t="s">
        <v>336</v>
      </c>
    </row>
    <row r="118" ht="20" customHeight="1">
      <c r="A118" s="3" t="s">
        <v>333</v>
      </c>
      <c r="B118" s="22" t="s">
        <v>330</v>
      </c>
      <c r="C118" s="22" t="s">
        <v>410</v>
      </c>
      <c r="D118" s="22" t="s">
        <v>296</v>
      </c>
      <c r="E118" s="22" t="s">
        <v>332</v>
      </c>
      <c r="F118" s="22" t="s">
        <v>332</v>
      </c>
      <c r="G118" s="22" t="s">
        <v>332</v>
      </c>
      <c r="H118" s="22" t="s">
        <v>332</v>
      </c>
      <c r="I118" s="22" t="s">
        <v>332</v>
      </c>
      <c r="J118" s="22" t="s">
        <v>332</v>
      </c>
      <c r="K118" s="22" t="s">
        <v>332</v>
      </c>
    </row>
    <row r="119" ht="60" customHeight="1">
      <c r="A119" s="3" t="s">
        <v>333</v>
      </c>
      <c r="B119" s="23" t="s">
        <v>2</v>
      </c>
      <c r="C119" s="23" t="s">
        <v>334</v>
      </c>
      <c r="D119" s="23" t="s">
        <v>297</v>
      </c>
      <c r="E119" s="2">
        <v>40</v>
      </c>
      <c r="F119" s="24">
        <v>6.207</v>
      </c>
      <c r="G119" s="24">
        <v>17.176</v>
      </c>
      <c r="H119" s="2">
        <v>140</v>
      </c>
      <c r="I119" s="3" t="s">
        <v>335</v>
      </c>
      <c r="J119" s="6">
        <v>1.0</v>
      </c>
      <c r="K119" s="4" t="s">
        <v>336</v>
      </c>
    </row>
    <row r="120" ht="20" customHeight="1">
      <c r="A120" s="3" t="s">
        <v>333</v>
      </c>
      <c r="B120" s="22" t="s">
        <v>330</v>
      </c>
      <c r="C120" s="22" t="s">
        <v>411</v>
      </c>
      <c r="D120" s="22" t="s">
        <v>300</v>
      </c>
      <c r="E120" s="22" t="s">
        <v>332</v>
      </c>
      <c r="F120" s="22" t="s">
        <v>332</v>
      </c>
      <c r="G120" s="22" t="s">
        <v>332</v>
      </c>
      <c r="H120" s="22" t="s">
        <v>332</v>
      </c>
      <c r="I120" s="22" t="s">
        <v>332</v>
      </c>
      <c r="J120" s="22" t="s">
        <v>332</v>
      </c>
      <c r="K120" s="22" t="s">
        <v>332</v>
      </c>
    </row>
    <row r="121" ht="33" customHeight="1">
      <c r="A121" s="3" t="s">
        <v>333</v>
      </c>
      <c r="B121" s="23" t="s">
        <v>2</v>
      </c>
      <c r="C121" s="23" t="s">
        <v>334</v>
      </c>
      <c r="D121" s="23" t="s">
        <v>301</v>
      </c>
      <c r="E121" s="2">
        <v>21</v>
      </c>
      <c r="F121" s="24">
        <v>9.123</v>
      </c>
      <c r="G121" s="24">
        <v>9.09</v>
      </c>
      <c r="H121" s="2">
        <v>139</v>
      </c>
      <c r="I121" s="3" t="s">
        <v>335</v>
      </c>
      <c r="J121" s="6">
        <v>0.5426145324785983</v>
      </c>
      <c r="K121" s="4" t="s">
        <v>338</v>
      </c>
    </row>
    <row r="122" ht="20" customHeight="1">
      <c r="A122" s="3" t="s">
        <v>333</v>
      </c>
      <c r="B122" s="22" t="s">
        <v>330</v>
      </c>
      <c r="C122" s="22" t="s">
        <v>339</v>
      </c>
      <c r="D122" s="22" t="s">
        <v>412</v>
      </c>
      <c r="E122" s="22" t="s">
        <v>332</v>
      </c>
      <c r="F122" s="22" t="s">
        <v>332</v>
      </c>
      <c r="G122" s="22" t="s">
        <v>332</v>
      </c>
      <c r="H122" s="22" t="s">
        <v>332</v>
      </c>
      <c r="I122" s="22" t="s">
        <v>332</v>
      </c>
      <c r="J122" s="22" t="s">
        <v>332</v>
      </c>
      <c r="K122" s="22" t="s">
        <v>332</v>
      </c>
    </row>
    <row r="123" ht="33" customHeight="1">
      <c r="A123" s="3" t="s">
        <v>333</v>
      </c>
      <c r="B123" s="23" t="s">
        <v>2</v>
      </c>
      <c r="C123" s="23" t="s">
        <v>334</v>
      </c>
      <c r="D123" s="23" t="s">
        <v>413</v>
      </c>
      <c r="E123" s="2">
        <v>19</v>
      </c>
      <c r="F123" s="24">
        <v>8.131</v>
      </c>
      <c r="G123" s="24">
        <v>7.002</v>
      </c>
      <c r="H123" s="2">
        <v>163</v>
      </c>
      <c r="I123" s="3" t="s">
        <v>335</v>
      </c>
      <c r="J123" s="6">
        <v>1.0</v>
      </c>
      <c r="K123" s="4" t="s">
        <v>336</v>
      </c>
    </row>
    <row r="124" ht="20" customHeight="1">
      <c r="A124" s="3" t="s">
        <v>333</v>
      </c>
      <c r="B124" s="22" t="s">
        <v>330</v>
      </c>
      <c r="C124" s="22" t="s">
        <v>414</v>
      </c>
      <c r="D124" s="22" t="s">
        <v>306</v>
      </c>
      <c r="E124" s="22" t="s">
        <v>332</v>
      </c>
      <c r="F124" s="22" t="s">
        <v>332</v>
      </c>
      <c r="G124" s="22" t="s">
        <v>332</v>
      </c>
      <c r="H124" s="22" t="s">
        <v>332</v>
      </c>
      <c r="I124" s="22" t="s">
        <v>332</v>
      </c>
      <c r="J124" s="22" t="s">
        <v>332</v>
      </c>
      <c r="K124" s="22" t="s">
        <v>332</v>
      </c>
    </row>
    <row r="125" ht="33" customHeight="1">
      <c r="A125" s="3" t="s">
        <v>333</v>
      </c>
      <c r="B125" s="23" t="s">
        <v>2</v>
      </c>
      <c r="C125" s="23" t="s">
        <v>334</v>
      </c>
      <c r="D125" s="23" t="s">
        <v>102</v>
      </c>
      <c r="E125" s="2">
        <v>6</v>
      </c>
      <c r="F125" s="24">
        <v>7.657</v>
      </c>
      <c r="G125" s="24">
        <v>2.982</v>
      </c>
      <c r="H125" s="2">
        <v>121</v>
      </c>
      <c r="I125" s="3" t="s">
        <v>335</v>
      </c>
      <c r="J125" s="6">
        <v>0.0</v>
      </c>
      <c r="K125" s="4" t="s">
        <v>343</v>
      </c>
    </row>
    <row r="126" ht="20" customHeight="1">
      <c r="A126" s="3" t="s">
        <v>333</v>
      </c>
      <c r="B126" s="22" t="s">
        <v>330</v>
      </c>
      <c r="C126" s="22" t="s">
        <v>415</v>
      </c>
      <c r="D126" s="22" t="s">
        <v>308</v>
      </c>
      <c r="E126" s="22" t="s">
        <v>332</v>
      </c>
      <c r="F126" s="22" t="s">
        <v>332</v>
      </c>
      <c r="G126" s="22" t="s">
        <v>332</v>
      </c>
      <c r="H126" s="22" t="s">
        <v>332</v>
      </c>
      <c r="I126" s="22" t="s">
        <v>332</v>
      </c>
      <c r="J126" s="22" t="s">
        <v>332</v>
      </c>
      <c r="K126" s="22" t="s">
        <v>332</v>
      </c>
    </row>
    <row r="127" ht="33" customHeight="1">
      <c r="A127" s="3" t="s">
        <v>333</v>
      </c>
      <c r="B127" s="23" t="s">
        <v>2</v>
      </c>
      <c r="C127" s="23" t="s">
        <v>334</v>
      </c>
      <c r="D127" s="23" t="s">
        <v>309</v>
      </c>
      <c r="E127" s="2">
        <v>22</v>
      </c>
      <c r="F127" s="24">
        <v>4.377</v>
      </c>
      <c r="G127" s="24">
        <v>8.001</v>
      </c>
      <c r="H127" s="2">
        <v>165</v>
      </c>
      <c r="I127" s="3" t="s">
        <v>335</v>
      </c>
      <c r="J127" s="6">
        <v>0.35793514124065423</v>
      </c>
      <c r="K127" s="4" t="s">
        <v>338</v>
      </c>
    </row>
    <row r="128" ht="20" customHeight="1">
      <c r="A128" s="3" t="s">
        <v>333</v>
      </c>
      <c r="B128" s="22" t="s">
        <v>330</v>
      </c>
      <c r="C128" s="22" t="s">
        <v>339</v>
      </c>
      <c r="D128" s="22" t="s">
        <v>416</v>
      </c>
      <c r="E128" s="22" t="s">
        <v>332</v>
      </c>
      <c r="F128" s="22" t="s">
        <v>332</v>
      </c>
      <c r="G128" s="22" t="s">
        <v>332</v>
      </c>
      <c r="H128" s="22" t="s">
        <v>332</v>
      </c>
      <c r="I128" s="22" t="s">
        <v>332</v>
      </c>
      <c r="J128" s="22" t="s">
        <v>332</v>
      </c>
      <c r="K128" s="22" t="s">
        <v>332</v>
      </c>
    </row>
    <row r="129" ht="46.5" customHeight="1">
      <c r="A129" s="3" t="s">
        <v>333</v>
      </c>
      <c r="B129" s="23" t="s">
        <v>2</v>
      </c>
      <c r="C129" s="23" t="s">
        <v>334</v>
      </c>
      <c r="D129" s="23" t="s">
        <v>417</v>
      </c>
      <c r="E129" s="2">
        <v>31</v>
      </c>
      <c r="F129" s="24">
        <v>5.248</v>
      </c>
      <c r="G129" s="24">
        <v>12.663</v>
      </c>
      <c r="H129" s="2">
        <v>147</v>
      </c>
      <c r="I129" s="3" t="s">
        <v>335</v>
      </c>
      <c r="J129" s="6">
        <v>0.8949385835275278</v>
      </c>
      <c r="K129" s="4" t="s">
        <v>336</v>
      </c>
    </row>
    <row r="130" ht="20" customHeight="1">
      <c r="A130" s="3" t="s">
        <v>333</v>
      </c>
      <c r="B130" s="22" t="s">
        <v>330</v>
      </c>
      <c r="C130" s="22" t="s">
        <v>418</v>
      </c>
      <c r="D130" s="22" t="s">
        <v>314</v>
      </c>
      <c r="E130" s="22" t="s">
        <v>332</v>
      </c>
      <c r="F130" s="22" t="s">
        <v>332</v>
      </c>
      <c r="G130" s="22" t="s">
        <v>332</v>
      </c>
      <c r="H130" s="22" t="s">
        <v>332</v>
      </c>
      <c r="I130" s="22" t="s">
        <v>332</v>
      </c>
      <c r="J130" s="22" t="s">
        <v>332</v>
      </c>
      <c r="K130" s="22" t="s">
        <v>332</v>
      </c>
    </row>
    <row r="131" ht="73.5" customHeight="1">
      <c r="A131" s="3" t="s">
        <v>333</v>
      </c>
      <c r="B131" s="23" t="s">
        <v>2</v>
      </c>
      <c r="C131" s="23" t="s">
        <v>334</v>
      </c>
      <c r="D131" s="23" t="s">
        <v>315</v>
      </c>
      <c r="E131" s="2">
        <v>43</v>
      </c>
      <c r="F131" s="24">
        <v>9.767</v>
      </c>
      <c r="G131" s="24">
        <v>20.746</v>
      </c>
      <c r="H131" s="2">
        <v>124</v>
      </c>
      <c r="I131" s="3" t="s">
        <v>335</v>
      </c>
      <c r="J131" s="6">
        <v>1.0</v>
      </c>
      <c r="K131" s="4" t="s">
        <v>419</v>
      </c>
    </row>
  </sheetData>
  <pageMargins left="0.5" right="0.5" top="0.6" bottom="0.6" header="0.3" footer="0.3"/>
  <pageSetup paperSize="9" orientation="landscape" fitToHeight="0"/>
</worksheet>
</file>

<file path=xl/worksheets/sheet4.xml><?xml version="1.0" encoding="utf-8"?>
<worksheet xmlns="http://schemas.openxmlformats.org/spreadsheetml/2006/main" xmlns:r="http://schemas.openxmlformats.org/officeDocument/2006/relationships">
  <sheetPr>
    <tabColor rgb="FFBF8F00"/>
    <pageSetUpPr fitToPage="1"/>
  </sheetPr>
  <dimension ref="A1:F763"/>
  <sheetViews>
    <sheetView workbookViewId="0">
      <pane ySplit="1" topLeftCell="A2" activePane="bottomLeft" state="frozen"/>
      <selection pane="bottomLeft"/>
    </sheetView>
  </sheetViews>
  <sheetFormatPr defaultRowHeight="15"/>
  <cols>
    <col min="1" max="1" width="6.71" customWidth="1"/>
    <col min="2" max="2" width="18.71" customWidth="1"/>
    <col min="3" max="3" width="34.71" customWidth="1"/>
    <col min="4" max="4" width="9.71" customWidth="1"/>
    <col min="5" max="5" width="9.71" customWidth="1"/>
    <col min="6" max="6" width="12.71" customWidth="1"/>
  </cols>
  <sheetData>
    <row r="1" ht="30" customHeight="1">
      <c r="A1" s="1" t="s">
        <v>75</v>
      </c>
      <c r="B1" s="1" t="s">
        <v>48</v>
      </c>
      <c r="C1" s="1" t="s">
        <v>420</v>
      </c>
      <c r="D1" s="1" t="s">
        <v>421</v>
      </c>
      <c r="E1" s="1" t="s">
        <v>422</v>
      </c>
      <c r="F1" s="1" t="s">
        <v>423</v>
      </c>
    </row>
    <row r="2">
      <c r="A2" s="2">
        <v>1</v>
      </c>
      <c r="B2" s="12" t="s">
        <v>57</v>
      </c>
      <c r="C2" s="12" t="s">
        <v>424</v>
      </c>
      <c r="D2" s="24">
        <v>6.290921012358922</v>
      </c>
      <c r="E2" s="3" t="s">
        <v>425</v>
      </c>
      <c r="F2" s="3" t="s">
        <v>425</v>
      </c>
    </row>
    <row r="3">
      <c r="A3" s="2">
        <v>1</v>
      </c>
      <c r="B3" s="12" t="s">
        <v>57</v>
      </c>
      <c r="C3" s="12" t="s">
        <v>426</v>
      </c>
      <c r="D3" s="24">
        <v>6.290921012358922</v>
      </c>
      <c r="E3" s="3" t="s">
        <v>425</v>
      </c>
      <c r="F3" s="3" t="s">
        <v>425</v>
      </c>
    </row>
    <row r="4">
      <c r="A4" s="2">
        <v>1</v>
      </c>
      <c r="B4" s="12" t="s">
        <v>57</v>
      </c>
      <c r="C4" s="12" t="s">
        <v>427</v>
      </c>
      <c r="D4" s="24">
        <v>1.9659128163621629</v>
      </c>
      <c r="E4" s="3" t="s">
        <v>425</v>
      </c>
      <c r="F4" s="3" t="s">
        <v>425</v>
      </c>
    </row>
    <row r="5">
      <c r="A5" s="2">
        <v>1</v>
      </c>
      <c r="B5" s="12" t="s">
        <v>57</v>
      </c>
      <c r="C5" s="12" t="s">
        <v>428</v>
      </c>
      <c r="D5" s="24">
        <v>1.9659128163621629</v>
      </c>
      <c r="E5" s="3" t="s">
        <v>425</v>
      </c>
      <c r="F5" s="3" t="s">
        <v>425</v>
      </c>
    </row>
    <row r="6">
      <c r="A6" s="2">
        <v>1</v>
      </c>
      <c r="B6" s="12" t="s">
        <v>57</v>
      </c>
      <c r="C6" s="12" t="s">
        <v>429</v>
      </c>
      <c r="D6" s="24">
        <v>1.9659128163621629</v>
      </c>
      <c r="E6" s="3" t="s">
        <v>425</v>
      </c>
      <c r="F6" s="3" t="s">
        <v>425</v>
      </c>
    </row>
    <row r="7">
      <c r="A7" s="2">
        <v>1</v>
      </c>
      <c r="B7" s="12" t="s">
        <v>57</v>
      </c>
      <c r="C7" s="12" t="s">
        <v>430</v>
      </c>
      <c r="D7" s="24">
        <v>1.9659128163621629</v>
      </c>
      <c r="E7" s="3" t="s">
        <v>425</v>
      </c>
      <c r="F7" s="3" t="s">
        <v>425</v>
      </c>
    </row>
    <row r="8">
      <c r="A8" s="2">
        <v>1</v>
      </c>
      <c r="B8" s="12" t="s">
        <v>57</v>
      </c>
      <c r="C8" s="12" t="s">
        <v>431</v>
      </c>
      <c r="D8" s="24">
        <v>1.9659128163621629</v>
      </c>
      <c r="E8" s="3" t="s">
        <v>425</v>
      </c>
      <c r="F8" s="3" t="s">
        <v>425</v>
      </c>
    </row>
    <row r="9">
      <c r="A9" s="2">
        <v>1</v>
      </c>
      <c r="B9" s="12" t="s">
        <v>57</v>
      </c>
      <c r="C9" s="12" t="s">
        <v>432</v>
      </c>
      <c r="D9" s="24">
        <v>1.629048269010741</v>
      </c>
      <c r="E9" s="3" t="s">
        <v>425</v>
      </c>
      <c r="F9" s="3" t="s">
        <v>425</v>
      </c>
    </row>
    <row r="10">
      <c r="A10" s="2">
        <v>1</v>
      </c>
      <c r="B10" s="12" t="s">
        <v>57</v>
      </c>
      <c r="C10" s="12" t="s">
        <v>433</v>
      </c>
      <c r="D10" s="24">
        <v>1.629048269010741</v>
      </c>
      <c r="E10" s="3" t="s">
        <v>434</v>
      </c>
      <c r="F10" s="3" t="s">
        <v>425</v>
      </c>
    </row>
    <row r="11">
      <c r="A11" s="2">
        <v>1</v>
      </c>
      <c r="B11" s="12" t="s">
        <v>57</v>
      </c>
      <c r="C11" s="12" t="s">
        <v>435</v>
      </c>
      <c r="D11" s="24">
        <v>1.629048269010741</v>
      </c>
      <c r="E11" s="3" t="s">
        <v>434</v>
      </c>
      <c r="F11" s="3" t="s">
        <v>425</v>
      </c>
    </row>
    <row r="12">
      <c r="A12" s="2">
        <v>1</v>
      </c>
      <c r="B12" s="12" t="s">
        <v>57</v>
      </c>
      <c r="C12" s="12" t="s">
        <v>436</v>
      </c>
      <c r="D12" s="24">
        <v>1.4358398124420062</v>
      </c>
      <c r="E12" s="3" t="s">
        <v>434</v>
      </c>
      <c r="F12" s="3" t="s">
        <v>425</v>
      </c>
    </row>
    <row r="13">
      <c r="A13" s="2">
        <v>1</v>
      </c>
      <c r="B13" s="12" t="s">
        <v>57</v>
      </c>
      <c r="C13" s="12" t="s">
        <v>437</v>
      </c>
      <c r="D13" s="24">
        <v>1.4358398124420062</v>
      </c>
      <c r="E13" s="3" t="s">
        <v>434</v>
      </c>
      <c r="F13" s="3" t="s">
        <v>425</v>
      </c>
    </row>
    <row r="14">
      <c r="A14" s="2">
        <v>1</v>
      </c>
      <c r="B14" s="12" t="s">
        <v>57</v>
      </c>
      <c r="C14" s="12" t="s">
        <v>438</v>
      </c>
      <c r="D14" s="24">
        <v>1.4358398124420062</v>
      </c>
      <c r="E14" s="3" t="s">
        <v>434</v>
      </c>
      <c r="F14" s="3" t="s">
        <v>425</v>
      </c>
    </row>
    <row r="15">
      <c r="A15" s="2">
        <v>1</v>
      </c>
      <c r="B15" s="12" t="s">
        <v>57</v>
      </c>
      <c r="C15" s="12" t="s">
        <v>439</v>
      </c>
      <c r="D15" s="24">
        <v>1.3703828730999525</v>
      </c>
      <c r="E15" s="3" t="s">
        <v>434</v>
      </c>
      <c r="F15" s="3" t="s">
        <v>425</v>
      </c>
    </row>
    <row r="16">
      <c r="A16" s="2">
        <v>1</v>
      </c>
      <c r="B16" s="12" t="s">
        <v>57</v>
      </c>
      <c r="C16" s="12" t="s">
        <v>440</v>
      </c>
      <c r="D16" s="24">
        <v>1.1989476363991853</v>
      </c>
      <c r="E16" s="3" t="s">
        <v>434</v>
      </c>
      <c r="F16" s="3" t="s">
        <v>425</v>
      </c>
    </row>
    <row r="17">
      <c r="A17" s="2">
        <v>1</v>
      </c>
      <c r="B17" s="12" t="s">
        <v>57</v>
      </c>
      <c r="C17" s="12" t="s">
        <v>441</v>
      </c>
      <c r="D17" s="24">
        <v>1.1989476363991853</v>
      </c>
      <c r="E17" s="3" t="s">
        <v>434</v>
      </c>
      <c r="F17" s="3" t="s">
        <v>425</v>
      </c>
    </row>
    <row r="18">
      <c r="A18" s="2">
        <v>1</v>
      </c>
      <c r="B18" s="12" t="s">
        <v>57</v>
      </c>
      <c r="C18" s="12" t="s">
        <v>442</v>
      </c>
      <c r="D18" s="24">
        <v>1.1989476363991853</v>
      </c>
      <c r="E18" s="3" t="s">
        <v>434</v>
      </c>
      <c r="F18" s="3" t="s">
        <v>425</v>
      </c>
    </row>
    <row r="19">
      <c r="A19" s="2">
        <v>1</v>
      </c>
      <c r="B19" s="12" t="s">
        <v>57</v>
      </c>
      <c r="C19" s="12" t="s">
        <v>443</v>
      </c>
      <c r="D19" s="24">
        <v>1.1989476363991853</v>
      </c>
      <c r="E19" s="3" t="s">
        <v>434</v>
      </c>
      <c r="F19" s="3" t="s">
        <v>425</v>
      </c>
    </row>
    <row r="20">
      <c r="A20" s="2">
        <v>2</v>
      </c>
      <c r="B20" s="12" t="s">
        <v>57</v>
      </c>
      <c r="C20" s="12" t="s">
        <v>444</v>
      </c>
      <c r="D20" s="24">
        <v>6.662296729730909</v>
      </c>
      <c r="E20" s="3" t="s">
        <v>425</v>
      </c>
      <c r="F20" s="3" t="s">
        <v>425</v>
      </c>
    </row>
    <row r="21">
      <c r="A21" s="2">
        <v>2</v>
      </c>
      <c r="B21" s="12" t="s">
        <v>57</v>
      </c>
      <c r="C21" s="12" t="s">
        <v>58</v>
      </c>
      <c r="D21" s="24">
        <v>5.994897629959526</v>
      </c>
      <c r="E21" s="3" t="s">
        <v>425</v>
      </c>
      <c r="F21" s="3" t="s">
        <v>425</v>
      </c>
    </row>
    <row r="22">
      <c r="A22" s="2">
        <v>2</v>
      </c>
      <c r="B22" s="12" t="s">
        <v>57</v>
      </c>
      <c r="C22" s="12" t="s">
        <v>445</v>
      </c>
      <c r="D22" s="24">
        <v>5.212954460834371</v>
      </c>
      <c r="E22" s="3" t="s">
        <v>425</v>
      </c>
      <c r="F22" s="3" t="s">
        <v>425</v>
      </c>
    </row>
    <row r="23">
      <c r="A23" s="2">
        <v>2</v>
      </c>
      <c r="B23" s="12" t="s">
        <v>57</v>
      </c>
      <c r="C23" s="12" t="s">
        <v>446</v>
      </c>
      <c r="D23" s="24">
        <v>5.212954460834371</v>
      </c>
      <c r="E23" s="3" t="s">
        <v>425</v>
      </c>
      <c r="F23" s="3" t="s">
        <v>425</v>
      </c>
    </row>
    <row r="24">
      <c r="A24" s="2">
        <v>2</v>
      </c>
      <c r="B24" s="12" t="s">
        <v>57</v>
      </c>
      <c r="C24" s="12" t="s">
        <v>447</v>
      </c>
      <c r="D24" s="24">
        <v>4.59468739981442</v>
      </c>
      <c r="E24" s="3" t="s">
        <v>425</v>
      </c>
      <c r="F24" s="3" t="s">
        <v>425</v>
      </c>
    </row>
    <row r="25">
      <c r="A25" s="2">
        <v>2</v>
      </c>
      <c r="B25" s="12" t="s">
        <v>57</v>
      </c>
      <c r="C25" s="12" t="s">
        <v>448</v>
      </c>
      <c r="D25" s="24">
        <v>1.9659128163621629</v>
      </c>
      <c r="E25" s="3" t="s">
        <v>425</v>
      </c>
      <c r="F25" s="3" t="s">
        <v>425</v>
      </c>
    </row>
    <row r="26">
      <c r="A26" s="2">
        <v>2</v>
      </c>
      <c r="B26" s="12" t="s">
        <v>57</v>
      </c>
      <c r="C26" s="12" t="s">
        <v>449</v>
      </c>
      <c r="D26" s="24">
        <v>1.9659128163621629</v>
      </c>
      <c r="E26" s="3" t="s">
        <v>434</v>
      </c>
      <c r="F26" s="3" t="s">
        <v>425</v>
      </c>
    </row>
    <row r="27">
      <c r="A27" s="2">
        <v>2</v>
      </c>
      <c r="B27" s="12" t="s">
        <v>57</v>
      </c>
      <c r="C27" s="12" t="s">
        <v>450</v>
      </c>
      <c r="D27" s="24">
        <v>1.9659128163621629</v>
      </c>
      <c r="E27" s="3" t="s">
        <v>434</v>
      </c>
      <c r="F27" s="3" t="s">
        <v>425</v>
      </c>
    </row>
    <row r="28">
      <c r="A28" s="2">
        <v>2</v>
      </c>
      <c r="B28" s="12" t="s">
        <v>57</v>
      </c>
      <c r="C28" s="12" t="s">
        <v>451</v>
      </c>
      <c r="D28" s="24">
        <v>1.651215784308307</v>
      </c>
      <c r="E28" s="3" t="s">
        <v>434</v>
      </c>
      <c r="F28" s="3" t="s">
        <v>425</v>
      </c>
    </row>
    <row r="29">
      <c r="A29" s="2">
        <v>2</v>
      </c>
      <c r="B29" s="12" t="s">
        <v>57</v>
      </c>
      <c r="C29" s="12" t="s">
        <v>452</v>
      </c>
      <c r="D29" s="24">
        <v>1.629048269010741</v>
      </c>
      <c r="E29" s="3" t="s">
        <v>434</v>
      </c>
      <c r="F29" s="3" t="s">
        <v>425</v>
      </c>
    </row>
    <row r="30">
      <c r="A30" s="2">
        <v>2</v>
      </c>
      <c r="B30" s="12" t="s">
        <v>57</v>
      </c>
      <c r="C30" s="12" t="s">
        <v>453</v>
      </c>
      <c r="D30" s="24">
        <v>1.629048269010741</v>
      </c>
      <c r="E30" s="3" t="s">
        <v>434</v>
      </c>
      <c r="F30" s="3" t="s">
        <v>425</v>
      </c>
    </row>
    <row r="31">
      <c r="A31" s="2">
        <v>2</v>
      </c>
      <c r="B31" s="12" t="s">
        <v>57</v>
      </c>
      <c r="C31" s="12" t="s">
        <v>454</v>
      </c>
      <c r="D31" s="24">
        <v>1.4358398124420062</v>
      </c>
      <c r="E31" s="3" t="s">
        <v>434</v>
      </c>
      <c r="F31" s="3" t="s">
        <v>425</v>
      </c>
    </row>
    <row r="32">
      <c r="A32" s="2">
        <v>2</v>
      </c>
      <c r="B32" s="12" t="s">
        <v>57</v>
      </c>
      <c r="C32" s="12" t="s">
        <v>455</v>
      </c>
      <c r="D32" s="24">
        <v>1.4358398124420062</v>
      </c>
      <c r="E32" s="3" t="s">
        <v>434</v>
      </c>
      <c r="F32" s="3" t="s">
        <v>425</v>
      </c>
    </row>
    <row r="33">
      <c r="A33" s="2">
        <v>2</v>
      </c>
      <c r="B33" s="12" t="s">
        <v>57</v>
      </c>
      <c r="C33" s="12" t="s">
        <v>456</v>
      </c>
      <c r="D33" s="24">
        <v>1.3013448427221919</v>
      </c>
      <c r="E33" s="3" t="s">
        <v>434</v>
      </c>
      <c r="F33" s="3" t="s">
        <v>425</v>
      </c>
    </row>
    <row r="34">
      <c r="A34" s="2">
        <v>3</v>
      </c>
      <c r="B34" s="12" t="s">
        <v>50</v>
      </c>
      <c r="C34" s="12" t="s">
        <v>457</v>
      </c>
      <c r="D34" s="24">
        <v>6.290921012358922</v>
      </c>
      <c r="E34" s="3" t="s">
        <v>425</v>
      </c>
      <c r="F34" s="3" t="s">
        <v>434</v>
      </c>
    </row>
    <row r="35">
      <c r="A35" s="2">
        <v>3</v>
      </c>
      <c r="B35" s="12" t="s">
        <v>50</v>
      </c>
      <c r="C35" s="12" t="s">
        <v>458</v>
      </c>
      <c r="D35" s="24">
        <v>6.290921012358922</v>
      </c>
      <c r="E35" s="3" t="s">
        <v>425</v>
      </c>
      <c r="F35" s="3" t="s">
        <v>434</v>
      </c>
    </row>
    <row r="36">
      <c r="A36" s="2">
        <v>3</v>
      </c>
      <c r="B36" s="12" t="s">
        <v>50</v>
      </c>
      <c r="C36" s="12" t="s">
        <v>459</v>
      </c>
      <c r="D36" s="24">
        <v>6.290921012358922</v>
      </c>
      <c r="E36" s="3" t="s">
        <v>425</v>
      </c>
      <c r="F36" s="3" t="s">
        <v>434</v>
      </c>
    </row>
    <row r="37">
      <c r="A37" s="2">
        <v>3</v>
      </c>
      <c r="B37" s="12" t="s">
        <v>50</v>
      </c>
      <c r="C37" s="12" t="s">
        <v>460</v>
      </c>
      <c r="D37" s="24">
        <v>5.212954460834371</v>
      </c>
      <c r="E37" s="3" t="s">
        <v>425</v>
      </c>
      <c r="F37" s="3" t="s">
        <v>434</v>
      </c>
    </row>
    <row r="38">
      <c r="A38" s="2">
        <v>3</v>
      </c>
      <c r="B38" s="12" t="s">
        <v>50</v>
      </c>
      <c r="C38" s="12" t="s">
        <v>461</v>
      </c>
      <c r="D38" s="24">
        <v>4.164303496711014</v>
      </c>
      <c r="E38" s="3" t="s">
        <v>425</v>
      </c>
      <c r="F38" s="3" t="s">
        <v>434</v>
      </c>
    </row>
    <row r="39">
      <c r="A39" s="2">
        <v>3</v>
      </c>
      <c r="B39" s="12" t="s">
        <v>50</v>
      </c>
      <c r="C39" s="12" t="s">
        <v>462</v>
      </c>
      <c r="D39" s="24">
        <v>1.9659128163621629</v>
      </c>
      <c r="E39" s="3" t="s">
        <v>425</v>
      </c>
      <c r="F39" s="3" t="s">
        <v>434</v>
      </c>
    </row>
    <row r="40">
      <c r="A40" s="2">
        <v>3</v>
      </c>
      <c r="B40" s="12" t="s">
        <v>50</v>
      </c>
      <c r="C40" s="12" t="s">
        <v>463</v>
      </c>
      <c r="D40" s="24">
        <v>1.629048269010741</v>
      </c>
      <c r="E40" s="3" t="s">
        <v>425</v>
      </c>
      <c r="F40" s="3" t="s">
        <v>434</v>
      </c>
    </row>
    <row r="41">
      <c r="A41" s="2">
        <v>3</v>
      </c>
      <c r="B41" s="12" t="s">
        <v>50</v>
      </c>
      <c r="C41" s="12" t="s">
        <v>464</v>
      </c>
      <c r="D41" s="24">
        <v>1.629048269010741</v>
      </c>
      <c r="E41" s="3" t="s">
        <v>434</v>
      </c>
      <c r="F41" s="3" t="s">
        <v>434</v>
      </c>
    </row>
    <row r="42">
      <c r="A42" s="2">
        <v>3</v>
      </c>
      <c r="B42" s="12" t="s">
        <v>50</v>
      </c>
      <c r="C42" s="12" t="s">
        <v>465</v>
      </c>
      <c r="D42" s="24">
        <v>1.629048269010741</v>
      </c>
      <c r="E42" s="3" t="s">
        <v>434</v>
      </c>
      <c r="F42" s="3" t="s">
        <v>434</v>
      </c>
    </row>
    <row r="43">
      <c r="A43" s="2">
        <v>3</v>
      </c>
      <c r="B43" s="12" t="s">
        <v>50</v>
      </c>
      <c r="C43" s="12" t="s">
        <v>466</v>
      </c>
      <c r="D43" s="24">
        <v>1.629048269010741</v>
      </c>
      <c r="E43" s="3" t="s">
        <v>434</v>
      </c>
      <c r="F43" s="3" t="s">
        <v>434</v>
      </c>
    </row>
    <row r="44">
      <c r="A44" s="2">
        <v>3</v>
      </c>
      <c r="B44" s="12" t="s">
        <v>50</v>
      </c>
      <c r="C44" s="12" t="s">
        <v>467</v>
      </c>
      <c r="D44" s="24">
        <v>1.4358398124420062</v>
      </c>
      <c r="E44" s="3" t="s">
        <v>434</v>
      </c>
      <c r="F44" s="3" t="s">
        <v>434</v>
      </c>
    </row>
    <row r="45">
      <c r="A45" s="2">
        <v>3</v>
      </c>
      <c r="B45" s="12" t="s">
        <v>50</v>
      </c>
      <c r="C45" s="12" t="s">
        <v>468</v>
      </c>
      <c r="D45" s="24">
        <v>1.4358398124420062</v>
      </c>
      <c r="E45" s="3" t="s">
        <v>434</v>
      </c>
      <c r="F45" s="3" t="s">
        <v>434</v>
      </c>
    </row>
    <row r="46">
      <c r="A46" s="2">
        <v>3</v>
      </c>
      <c r="B46" s="12" t="s">
        <v>50</v>
      </c>
      <c r="C46" s="12" t="s">
        <v>469</v>
      </c>
      <c r="D46" s="24">
        <v>1.4358398124420062</v>
      </c>
      <c r="E46" s="3" t="s">
        <v>434</v>
      </c>
      <c r="F46" s="3" t="s">
        <v>434</v>
      </c>
    </row>
    <row r="47">
      <c r="A47" s="2">
        <v>3</v>
      </c>
      <c r="B47" s="12" t="s">
        <v>50</v>
      </c>
      <c r="C47" s="12" t="s">
        <v>470</v>
      </c>
      <c r="D47" s="24">
        <v>1.4358398124420062</v>
      </c>
      <c r="E47" s="3" t="s">
        <v>434</v>
      </c>
      <c r="F47" s="3" t="s">
        <v>434</v>
      </c>
    </row>
    <row r="48">
      <c r="A48" s="2">
        <v>3</v>
      </c>
      <c r="B48" s="12" t="s">
        <v>50</v>
      </c>
      <c r="C48" s="12" t="s">
        <v>471</v>
      </c>
      <c r="D48" s="24">
        <v>1.3013448427221919</v>
      </c>
      <c r="E48" s="3" t="s">
        <v>434</v>
      </c>
      <c r="F48" s="3" t="s">
        <v>434</v>
      </c>
    </row>
    <row r="49">
      <c r="A49" s="2">
        <v>3</v>
      </c>
      <c r="B49" s="12" t="s">
        <v>50</v>
      </c>
      <c r="C49" s="12" t="s">
        <v>472</v>
      </c>
      <c r="D49" s="24">
        <v>1.1989476363991853</v>
      </c>
      <c r="E49" s="3" t="s">
        <v>434</v>
      </c>
      <c r="F49" s="3" t="s">
        <v>434</v>
      </c>
    </row>
    <row r="50">
      <c r="A50" s="2">
        <v>4</v>
      </c>
      <c r="B50" s="12" t="s">
        <v>57</v>
      </c>
      <c r="C50" s="12" t="s">
        <v>473</v>
      </c>
      <c r="D50" s="24">
        <v>6.290921012358922</v>
      </c>
      <c r="E50" s="3" t="s">
        <v>425</v>
      </c>
      <c r="F50" s="3" t="s">
        <v>425</v>
      </c>
    </row>
    <row r="51">
      <c r="A51" s="2">
        <v>4</v>
      </c>
      <c r="B51" s="12" t="s">
        <v>57</v>
      </c>
      <c r="C51" s="12" t="s">
        <v>444</v>
      </c>
      <c r="D51" s="24">
        <v>4.59468739981442</v>
      </c>
      <c r="E51" s="3" t="s">
        <v>425</v>
      </c>
      <c r="F51" s="3" t="s">
        <v>425</v>
      </c>
    </row>
    <row r="52">
      <c r="A52" s="2">
        <v>4</v>
      </c>
      <c r="B52" s="12" t="s">
        <v>57</v>
      </c>
      <c r="C52" s="12" t="s">
        <v>474</v>
      </c>
      <c r="D52" s="24">
        <v>2.555686661270812</v>
      </c>
      <c r="E52" s="3" t="s">
        <v>425</v>
      </c>
      <c r="F52" s="3" t="s">
        <v>425</v>
      </c>
    </row>
    <row r="53">
      <c r="A53" s="2">
        <v>4</v>
      </c>
      <c r="B53" s="12" t="s">
        <v>57</v>
      </c>
      <c r="C53" s="12" t="s">
        <v>475</v>
      </c>
      <c r="D53" s="24">
        <v>1.9659128163621629</v>
      </c>
      <c r="E53" s="3" t="s">
        <v>425</v>
      </c>
      <c r="F53" s="3" t="s">
        <v>425</v>
      </c>
    </row>
    <row r="54">
      <c r="A54" s="2">
        <v>4</v>
      </c>
      <c r="B54" s="12" t="s">
        <v>57</v>
      </c>
      <c r="C54" s="12" t="s">
        <v>476</v>
      </c>
      <c r="D54" s="24">
        <v>1.651215784308307</v>
      </c>
      <c r="E54" s="3" t="s">
        <v>425</v>
      </c>
      <c r="F54" s="3" t="s">
        <v>425</v>
      </c>
    </row>
    <row r="55">
      <c r="A55" s="2">
        <v>4</v>
      </c>
      <c r="B55" s="12" t="s">
        <v>57</v>
      </c>
      <c r="C55" s="12" t="s">
        <v>477</v>
      </c>
      <c r="D55" s="24">
        <v>1.629048269010741</v>
      </c>
      <c r="E55" s="3" t="s">
        <v>434</v>
      </c>
      <c r="F55" s="3" t="s">
        <v>425</v>
      </c>
    </row>
    <row r="56">
      <c r="A56" s="2">
        <v>4</v>
      </c>
      <c r="B56" s="12" t="s">
        <v>57</v>
      </c>
      <c r="C56" s="12" t="s">
        <v>478</v>
      </c>
      <c r="D56" s="24">
        <v>1.629048269010741</v>
      </c>
      <c r="E56" s="3" t="s">
        <v>434</v>
      </c>
      <c r="F56" s="3" t="s">
        <v>425</v>
      </c>
    </row>
    <row r="57">
      <c r="A57" s="2">
        <v>4</v>
      </c>
      <c r="B57" s="12" t="s">
        <v>57</v>
      </c>
      <c r="C57" s="12" t="s">
        <v>479</v>
      </c>
      <c r="D57" s="24">
        <v>1.629048269010741</v>
      </c>
      <c r="E57" s="3" t="s">
        <v>434</v>
      </c>
      <c r="F57" s="3" t="s">
        <v>425</v>
      </c>
    </row>
    <row r="58">
      <c r="A58" s="2">
        <v>4</v>
      </c>
      <c r="B58" s="12" t="s">
        <v>57</v>
      </c>
      <c r="C58" s="12" t="s">
        <v>480</v>
      </c>
      <c r="D58" s="24">
        <v>1.4358398124420062</v>
      </c>
      <c r="E58" s="3" t="s">
        <v>434</v>
      </c>
      <c r="F58" s="3" t="s">
        <v>425</v>
      </c>
    </row>
    <row r="59">
      <c r="A59" s="2">
        <v>4</v>
      </c>
      <c r="B59" s="12" t="s">
        <v>57</v>
      </c>
      <c r="C59" s="12" t="s">
        <v>481</v>
      </c>
      <c r="D59" s="24">
        <v>1.4358398124420062</v>
      </c>
      <c r="E59" s="3" t="s">
        <v>434</v>
      </c>
      <c r="F59" s="3" t="s">
        <v>425</v>
      </c>
    </row>
    <row r="60">
      <c r="A60" s="2">
        <v>4</v>
      </c>
      <c r="B60" s="12" t="s">
        <v>57</v>
      </c>
      <c r="C60" s="12" t="s">
        <v>109</v>
      </c>
      <c r="D60" s="24">
        <v>1.1989476363991853</v>
      </c>
      <c r="E60" s="3" t="s">
        <v>434</v>
      </c>
      <c r="F60" s="3" t="s">
        <v>434</v>
      </c>
    </row>
    <row r="61">
      <c r="A61" s="2">
        <v>5</v>
      </c>
      <c r="B61" s="12" t="s">
        <v>60</v>
      </c>
      <c r="C61" s="12" t="s">
        <v>482</v>
      </c>
      <c r="D61" s="24">
        <v>4.164303496711014</v>
      </c>
      <c r="E61" s="3" t="s">
        <v>425</v>
      </c>
      <c r="F61" s="3" t="s">
        <v>425</v>
      </c>
    </row>
    <row r="62">
      <c r="A62" s="2">
        <v>5</v>
      </c>
      <c r="B62" s="12" t="s">
        <v>60</v>
      </c>
      <c r="C62" s="12" t="s">
        <v>483</v>
      </c>
      <c r="D62" s="24">
        <v>1.9659128163621629</v>
      </c>
      <c r="E62" s="3" t="s">
        <v>425</v>
      </c>
      <c r="F62" s="3" t="s">
        <v>425</v>
      </c>
    </row>
    <row r="63">
      <c r="A63" s="2">
        <v>5</v>
      </c>
      <c r="B63" s="12" t="s">
        <v>60</v>
      </c>
      <c r="C63" s="12" t="s">
        <v>484</v>
      </c>
      <c r="D63" s="24">
        <v>1.9659128163621629</v>
      </c>
      <c r="E63" s="3" t="s">
        <v>425</v>
      </c>
      <c r="F63" s="3" t="s">
        <v>425</v>
      </c>
    </row>
    <row r="64">
      <c r="A64" s="2">
        <v>5</v>
      </c>
      <c r="B64" s="12" t="s">
        <v>60</v>
      </c>
      <c r="C64" s="12" t="s">
        <v>485</v>
      </c>
      <c r="D64" s="24">
        <v>1.9659128163621629</v>
      </c>
      <c r="E64" s="3" t="s">
        <v>425</v>
      </c>
      <c r="F64" s="3" t="s">
        <v>425</v>
      </c>
    </row>
    <row r="65">
      <c r="A65" s="2">
        <v>5</v>
      </c>
      <c r="B65" s="12" t="s">
        <v>60</v>
      </c>
      <c r="C65" s="12" t="s">
        <v>486</v>
      </c>
      <c r="D65" s="24">
        <v>1.9659128163621629</v>
      </c>
      <c r="E65" s="3" t="s">
        <v>434</v>
      </c>
      <c r="F65" s="3" t="s">
        <v>425</v>
      </c>
    </row>
    <row r="66">
      <c r="A66" s="2">
        <v>5</v>
      </c>
      <c r="B66" s="12" t="s">
        <v>60</v>
      </c>
      <c r="C66" s="12" t="s">
        <v>487</v>
      </c>
      <c r="D66" s="24">
        <v>1.4358398124420062</v>
      </c>
      <c r="E66" s="3" t="s">
        <v>434</v>
      </c>
      <c r="F66" s="3" t="s">
        <v>425</v>
      </c>
    </row>
    <row r="67">
      <c r="A67" s="2">
        <v>5</v>
      </c>
      <c r="B67" s="12" t="s">
        <v>60</v>
      </c>
      <c r="C67" s="12" t="s">
        <v>488</v>
      </c>
      <c r="D67" s="24">
        <v>1.4358398124420062</v>
      </c>
      <c r="E67" s="3" t="s">
        <v>434</v>
      </c>
      <c r="F67" s="3" t="s">
        <v>425</v>
      </c>
    </row>
    <row r="68">
      <c r="A68" s="2">
        <v>5</v>
      </c>
      <c r="B68" s="12" t="s">
        <v>60</v>
      </c>
      <c r="C68" s="12" t="s">
        <v>489</v>
      </c>
      <c r="D68" s="24">
        <v>1.4358398124420062</v>
      </c>
      <c r="E68" s="3" t="s">
        <v>434</v>
      </c>
      <c r="F68" s="3" t="s">
        <v>425</v>
      </c>
    </row>
    <row r="69">
      <c r="A69" s="2">
        <v>5</v>
      </c>
      <c r="B69" s="12" t="s">
        <v>60</v>
      </c>
      <c r="C69" s="12" t="s">
        <v>490</v>
      </c>
      <c r="D69" s="24">
        <v>1.378789781859063</v>
      </c>
      <c r="E69" s="3" t="s">
        <v>434</v>
      </c>
      <c r="F69" s="3" t="s">
        <v>425</v>
      </c>
    </row>
    <row r="70">
      <c r="A70" s="2">
        <v>5</v>
      </c>
      <c r="B70" s="12" t="s">
        <v>60</v>
      </c>
      <c r="C70" s="12" t="s">
        <v>491</v>
      </c>
      <c r="D70" s="24">
        <v>1.378789781859063</v>
      </c>
      <c r="E70" s="3" t="s">
        <v>434</v>
      </c>
      <c r="F70" s="3" t="s">
        <v>425</v>
      </c>
    </row>
    <row r="71">
      <c r="A71" s="2">
        <v>6</v>
      </c>
      <c r="B71" s="12" t="s">
        <v>62</v>
      </c>
      <c r="C71" s="12" t="s">
        <v>492</v>
      </c>
      <c r="D71" s="24">
        <v>5.212954460834371</v>
      </c>
      <c r="E71" s="3" t="s">
        <v>425</v>
      </c>
      <c r="F71" s="3" t="s">
        <v>425</v>
      </c>
    </row>
    <row r="72">
      <c r="A72" s="2">
        <v>6</v>
      </c>
      <c r="B72" s="12" t="s">
        <v>62</v>
      </c>
      <c r="C72" s="12" t="s">
        <v>493</v>
      </c>
      <c r="D72" s="24">
        <v>3.355425790046779</v>
      </c>
      <c r="E72" s="3" t="s">
        <v>425</v>
      </c>
      <c r="F72" s="3" t="s">
        <v>425</v>
      </c>
    </row>
    <row r="73">
      <c r="A73" s="2">
        <v>6</v>
      </c>
      <c r="B73" s="12" t="s">
        <v>62</v>
      </c>
      <c r="C73" s="12" t="s">
        <v>494</v>
      </c>
      <c r="D73" s="24">
        <v>1.9659128163621629</v>
      </c>
      <c r="E73" s="3" t="s">
        <v>425</v>
      </c>
      <c r="F73" s="3" t="s">
        <v>425</v>
      </c>
    </row>
    <row r="74">
      <c r="A74" s="2">
        <v>6</v>
      </c>
      <c r="B74" s="12" t="s">
        <v>62</v>
      </c>
      <c r="C74" s="12" t="s">
        <v>495</v>
      </c>
      <c r="D74" s="24">
        <v>1.9659128163621629</v>
      </c>
      <c r="E74" s="3" t="s">
        <v>425</v>
      </c>
      <c r="F74" s="3" t="s">
        <v>425</v>
      </c>
    </row>
    <row r="75">
      <c r="A75" s="2">
        <v>6</v>
      </c>
      <c r="B75" s="12" t="s">
        <v>62</v>
      </c>
      <c r="C75" s="12" t="s">
        <v>496</v>
      </c>
      <c r="D75" s="24">
        <v>1.9659128163621629</v>
      </c>
      <c r="E75" s="3" t="s">
        <v>425</v>
      </c>
      <c r="F75" s="3" t="s">
        <v>425</v>
      </c>
    </row>
    <row r="76">
      <c r="A76" s="2">
        <v>6</v>
      </c>
      <c r="B76" s="12" t="s">
        <v>62</v>
      </c>
      <c r="C76" s="12" t="s">
        <v>497</v>
      </c>
      <c r="D76" s="24">
        <v>1.9659128163621629</v>
      </c>
      <c r="E76" s="3" t="s">
        <v>434</v>
      </c>
      <c r="F76" s="3" t="s">
        <v>425</v>
      </c>
    </row>
    <row r="77">
      <c r="A77" s="2">
        <v>6</v>
      </c>
      <c r="B77" s="12" t="s">
        <v>62</v>
      </c>
      <c r="C77" s="12" t="s">
        <v>438</v>
      </c>
      <c r="D77" s="24">
        <v>1.651215784308307</v>
      </c>
      <c r="E77" s="3" t="s">
        <v>434</v>
      </c>
      <c r="F77" s="3" t="s">
        <v>425</v>
      </c>
    </row>
    <row r="78">
      <c r="A78" s="2">
        <v>6</v>
      </c>
      <c r="B78" s="12" t="s">
        <v>62</v>
      </c>
      <c r="C78" s="12" t="s">
        <v>119</v>
      </c>
      <c r="D78" s="24">
        <v>1.629048269010741</v>
      </c>
      <c r="E78" s="3" t="s">
        <v>434</v>
      </c>
      <c r="F78" s="3" t="s">
        <v>434</v>
      </c>
    </row>
    <row r="79">
      <c r="A79" s="2">
        <v>6</v>
      </c>
      <c r="B79" s="12" t="s">
        <v>62</v>
      </c>
      <c r="C79" s="12" t="s">
        <v>498</v>
      </c>
      <c r="D79" s="24">
        <v>1.629048269010741</v>
      </c>
      <c r="E79" s="3" t="s">
        <v>434</v>
      </c>
      <c r="F79" s="3" t="s">
        <v>425</v>
      </c>
    </row>
    <row r="80">
      <c r="A80" s="2">
        <v>6</v>
      </c>
      <c r="B80" s="12" t="s">
        <v>62</v>
      </c>
      <c r="C80" s="12" t="s">
        <v>499</v>
      </c>
      <c r="D80" s="24">
        <v>1.4358398124420062</v>
      </c>
      <c r="E80" s="3" t="s">
        <v>434</v>
      </c>
      <c r="F80" s="3" t="s">
        <v>425</v>
      </c>
    </row>
    <row r="81">
      <c r="A81" s="2">
        <v>6</v>
      </c>
      <c r="B81" s="12" t="s">
        <v>62</v>
      </c>
      <c r="C81" s="12" t="s">
        <v>500</v>
      </c>
      <c r="D81" s="24">
        <v>1.4358398124420062</v>
      </c>
      <c r="E81" s="3" t="s">
        <v>434</v>
      </c>
      <c r="F81" s="3" t="s">
        <v>425</v>
      </c>
    </row>
    <row r="82">
      <c r="A82" s="2">
        <v>7</v>
      </c>
      <c r="B82" s="12" t="s">
        <v>57</v>
      </c>
      <c r="C82" s="12" t="s">
        <v>492</v>
      </c>
      <c r="D82" s="24">
        <v>5.994897629959526</v>
      </c>
      <c r="E82" s="3" t="s">
        <v>425</v>
      </c>
      <c r="F82" s="3" t="s">
        <v>434</v>
      </c>
    </row>
    <row r="83">
      <c r="A83" s="2">
        <v>7</v>
      </c>
      <c r="B83" s="12" t="s">
        <v>57</v>
      </c>
      <c r="C83" s="12" t="s">
        <v>501</v>
      </c>
      <c r="D83" s="24">
        <v>5.212954460834371</v>
      </c>
      <c r="E83" s="3" t="s">
        <v>425</v>
      </c>
      <c r="F83" s="3" t="s">
        <v>434</v>
      </c>
    </row>
    <row r="84">
      <c r="A84" s="2">
        <v>7</v>
      </c>
      <c r="B84" s="12" t="s">
        <v>57</v>
      </c>
      <c r="C84" s="12" t="s">
        <v>502</v>
      </c>
      <c r="D84" s="24">
        <v>4.59468739981442</v>
      </c>
      <c r="E84" s="3" t="s">
        <v>425</v>
      </c>
      <c r="F84" s="3" t="s">
        <v>425</v>
      </c>
    </row>
    <row r="85">
      <c r="A85" s="2">
        <v>7</v>
      </c>
      <c r="B85" s="12" t="s">
        <v>57</v>
      </c>
      <c r="C85" s="12" t="s">
        <v>461</v>
      </c>
      <c r="D85" s="24">
        <v>4.164303496711014</v>
      </c>
      <c r="E85" s="3" t="s">
        <v>425</v>
      </c>
      <c r="F85" s="3" t="s">
        <v>425</v>
      </c>
    </row>
    <row r="86">
      <c r="A86" s="2">
        <v>7</v>
      </c>
      <c r="B86" s="12" t="s">
        <v>57</v>
      </c>
      <c r="C86" s="12" t="s">
        <v>503</v>
      </c>
      <c r="D86" s="24">
        <v>3.0085005865112002</v>
      </c>
      <c r="E86" s="3" t="s">
        <v>425</v>
      </c>
      <c r="F86" s="3" t="s">
        <v>425</v>
      </c>
    </row>
    <row r="87">
      <c r="A87" s="2">
        <v>7</v>
      </c>
      <c r="B87" s="12" t="s">
        <v>57</v>
      </c>
      <c r="C87" s="12" t="s">
        <v>504</v>
      </c>
      <c r="D87" s="24">
        <v>1.9659128163621629</v>
      </c>
      <c r="E87" s="3" t="s">
        <v>425</v>
      </c>
      <c r="F87" s="3" t="s">
        <v>425</v>
      </c>
    </row>
    <row r="88">
      <c r="A88" s="2">
        <v>7</v>
      </c>
      <c r="B88" s="12" t="s">
        <v>57</v>
      </c>
      <c r="C88" s="12" t="s">
        <v>505</v>
      </c>
      <c r="D88" s="24">
        <v>1.9659128163621629</v>
      </c>
      <c r="E88" s="3" t="s">
        <v>434</v>
      </c>
      <c r="F88" s="3" t="s">
        <v>425</v>
      </c>
    </row>
    <row r="89">
      <c r="A89" s="2">
        <v>7</v>
      </c>
      <c r="B89" s="12" t="s">
        <v>57</v>
      </c>
      <c r="C89" s="12" t="s">
        <v>506</v>
      </c>
      <c r="D89" s="24">
        <v>1.9659128163621629</v>
      </c>
      <c r="E89" s="3" t="s">
        <v>434</v>
      </c>
      <c r="F89" s="3" t="s">
        <v>425</v>
      </c>
    </row>
    <row r="90">
      <c r="A90" s="2">
        <v>7</v>
      </c>
      <c r="B90" s="12" t="s">
        <v>57</v>
      </c>
      <c r="C90" s="12" t="s">
        <v>507</v>
      </c>
      <c r="D90" s="24">
        <v>1.9659128163621629</v>
      </c>
      <c r="E90" s="3" t="s">
        <v>434</v>
      </c>
      <c r="F90" s="3" t="s">
        <v>425</v>
      </c>
    </row>
    <row r="91">
      <c r="A91" s="2">
        <v>7</v>
      </c>
      <c r="B91" s="12" t="s">
        <v>57</v>
      </c>
      <c r="C91" s="12" t="s">
        <v>508</v>
      </c>
      <c r="D91" s="24">
        <v>1.629048269010741</v>
      </c>
      <c r="E91" s="3" t="s">
        <v>434</v>
      </c>
      <c r="F91" s="3" t="s">
        <v>434</v>
      </c>
    </row>
    <row r="92">
      <c r="A92" s="2">
        <v>7</v>
      </c>
      <c r="B92" s="12" t="s">
        <v>57</v>
      </c>
      <c r="C92" s="12" t="s">
        <v>451</v>
      </c>
      <c r="D92" s="24">
        <v>1.4358398124420062</v>
      </c>
      <c r="E92" s="3" t="s">
        <v>434</v>
      </c>
      <c r="F92" s="3" t="s">
        <v>425</v>
      </c>
    </row>
    <row r="93">
      <c r="A93" s="2">
        <v>7</v>
      </c>
      <c r="B93" s="12" t="s">
        <v>57</v>
      </c>
      <c r="C93" s="12" t="s">
        <v>509</v>
      </c>
      <c r="D93" s="24">
        <v>1.4358398124420062</v>
      </c>
      <c r="E93" s="3" t="s">
        <v>434</v>
      </c>
      <c r="F93" s="3" t="s">
        <v>425</v>
      </c>
    </row>
    <row r="94">
      <c r="A94" s="2">
        <v>7</v>
      </c>
      <c r="B94" s="12" t="s">
        <v>57</v>
      </c>
      <c r="C94" s="12" t="s">
        <v>510</v>
      </c>
      <c r="D94" s="24">
        <v>1.4358398124420062</v>
      </c>
      <c r="E94" s="3" t="s">
        <v>434</v>
      </c>
      <c r="F94" s="3" t="s">
        <v>434</v>
      </c>
    </row>
    <row r="95">
      <c r="A95" s="2">
        <v>7</v>
      </c>
      <c r="B95" s="12" t="s">
        <v>57</v>
      </c>
      <c r="C95" s="12" t="s">
        <v>511</v>
      </c>
      <c r="D95" s="24">
        <v>1.3013448427221919</v>
      </c>
      <c r="E95" s="3" t="s">
        <v>434</v>
      </c>
      <c r="F95" s="3" t="s">
        <v>425</v>
      </c>
    </row>
    <row r="96">
      <c r="A96" s="2">
        <v>8</v>
      </c>
      <c r="B96" s="12" t="s">
        <v>56</v>
      </c>
      <c r="C96" s="12" t="s">
        <v>512</v>
      </c>
      <c r="D96" s="24">
        <v>6.290921012358922</v>
      </c>
      <c r="E96" s="3" t="s">
        <v>425</v>
      </c>
      <c r="F96" s="3" t="s">
        <v>434</v>
      </c>
    </row>
    <row r="97">
      <c r="A97" s="2">
        <v>8</v>
      </c>
      <c r="B97" s="12" t="s">
        <v>56</v>
      </c>
      <c r="C97" s="12" t="s">
        <v>513</v>
      </c>
      <c r="D97" s="24">
        <v>3.573747554411351</v>
      </c>
      <c r="E97" s="3" t="s">
        <v>425</v>
      </c>
      <c r="F97" s="3" t="s">
        <v>434</v>
      </c>
    </row>
    <row r="98">
      <c r="A98" s="2">
        <v>8</v>
      </c>
      <c r="B98" s="12" t="s">
        <v>56</v>
      </c>
      <c r="C98" s="12" t="s">
        <v>514</v>
      </c>
      <c r="D98" s="24">
        <v>1.9659128163621629</v>
      </c>
      <c r="E98" s="3" t="s">
        <v>425</v>
      </c>
      <c r="F98" s="3" t="s">
        <v>434</v>
      </c>
    </row>
    <row r="99">
      <c r="A99" s="2">
        <v>8</v>
      </c>
      <c r="B99" s="12" t="s">
        <v>56</v>
      </c>
      <c r="C99" s="12" t="s">
        <v>515</v>
      </c>
      <c r="D99" s="24">
        <v>1.9659128163621629</v>
      </c>
      <c r="E99" s="3" t="s">
        <v>425</v>
      </c>
      <c r="F99" s="3" t="s">
        <v>434</v>
      </c>
    </row>
    <row r="100">
      <c r="A100" s="2">
        <v>8</v>
      </c>
      <c r="B100" s="12" t="s">
        <v>56</v>
      </c>
      <c r="C100" s="12" t="s">
        <v>516</v>
      </c>
      <c r="D100" s="24">
        <v>1.9659128163621629</v>
      </c>
      <c r="E100" s="3" t="s">
        <v>425</v>
      </c>
      <c r="F100" s="3" t="s">
        <v>434</v>
      </c>
    </row>
    <row r="101">
      <c r="A101" s="2">
        <v>8</v>
      </c>
      <c r="B101" s="12" t="s">
        <v>56</v>
      </c>
      <c r="C101" s="12" t="s">
        <v>517</v>
      </c>
      <c r="D101" s="24">
        <v>1.629048269010741</v>
      </c>
      <c r="E101" s="3" t="s">
        <v>434</v>
      </c>
      <c r="F101" s="3" t="s">
        <v>434</v>
      </c>
    </row>
    <row r="102">
      <c r="A102" s="2">
        <v>8</v>
      </c>
      <c r="B102" s="12" t="s">
        <v>56</v>
      </c>
      <c r="C102" s="12" t="s">
        <v>518</v>
      </c>
      <c r="D102" s="24">
        <v>1.629048269010741</v>
      </c>
      <c r="E102" s="3" t="s">
        <v>434</v>
      </c>
      <c r="F102" s="3" t="s">
        <v>434</v>
      </c>
    </row>
    <row r="103">
      <c r="A103" s="2">
        <v>8</v>
      </c>
      <c r="B103" s="12" t="s">
        <v>56</v>
      </c>
      <c r="C103" s="12" t="s">
        <v>481</v>
      </c>
      <c r="D103" s="24">
        <v>1.4358398124420062</v>
      </c>
      <c r="E103" s="3" t="s">
        <v>434</v>
      </c>
      <c r="F103" s="3" t="s">
        <v>434</v>
      </c>
    </row>
    <row r="104">
      <c r="A104" s="2">
        <v>8</v>
      </c>
      <c r="B104" s="12" t="s">
        <v>56</v>
      </c>
      <c r="C104" s="12" t="s">
        <v>488</v>
      </c>
      <c r="D104" s="24">
        <v>1.4358398124420062</v>
      </c>
      <c r="E104" s="3" t="s">
        <v>434</v>
      </c>
      <c r="F104" s="3" t="s">
        <v>434</v>
      </c>
    </row>
    <row r="105">
      <c r="A105" s="2">
        <v>8</v>
      </c>
      <c r="B105" s="12" t="s">
        <v>56</v>
      </c>
      <c r="C105" s="12" t="s">
        <v>456</v>
      </c>
      <c r="D105" s="24">
        <v>1.3013448427221919</v>
      </c>
      <c r="E105" s="3" t="s">
        <v>434</v>
      </c>
      <c r="F105" s="3" t="s">
        <v>434</v>
      </c>
    </row>
    <row r="106">
      <c r="A106" s="2">
        <v>8</v>
      </c>
      <c r="B106" s="12" t="s">
        <v>56</v>
      </c>
      <c r="C106" s="12" t="s">
        <v>519</v>
      </c>
      <c r="D106" s="24">
        <v>1.3013448427221919</v>
      </c>
      <c r="E106" s="3" t="s">
        <v>434</v>
      </c>
      <c r="F106" s="3" t="s">
        <v>434</v>
      </c>
    </row>
    <row r="107">
      <c r="A107" s="2">
        <v>8</v>
      </c>
      <c r="B107" s="12" t="s">
        <v>56</v>
      </c>
      <c r="C107" s="12" t="s">
        <v>520</v>
      </c>
      <c r="D107" s="24">
        <v>1.3013448427221919</v>
      </c>
      <c r="E107" s="3" t="s">
        <v>434</v>
      </c>
      <c r="F107" s="3" t="s">
        <v>434</v>
      </c>
    </row>
    <row r="108">
      <c r="A108" s="2">
        <v>9</v>
      </c>
      <c r="B108" s="12" t="s">
        <v>56</v>
      </c>
      <c r="C108" s="12" t="s">
        <v>513</v>
      </c>
      <c r="D108" s="24">
        <v>3.573747554411351</v>
      </c>
      <c r="E108" s="3" t="s">
        <v>425</v>
      </c>
      <c r="F108" s="3" t="s">
        <v>425</v>
      </c>
    </row>
    <row r="109">
      <c r="A109" s="2">
        <v>9</v>
      </c>
      <c r="B109" s="12" t="s">
        <v>56</v>
      </c>
      <c r="C109" s="12" t="s">
        <v>521</v>
      </c>
      <c r="D109" s="24">
        <v>2.260799738816487</v>
      </c>
      <c r="E109" s="3" t="s">
        <v>425</v>
      </c>
      <c r="F109" s="3" t="s">
        <v>434</v>
      </c>
    </row>
    <row r="110">
      <c r="A110" s="2">
        <v>9</v>
      </c>
      <c r="B110" s="12" t="s">
        <v>56</v>
      </c>
      <c r="C110" s="12" t="s">
        <v>522</v>
      </c>
      <c r="D110" s="24">
        <v>1.9659128163621629</v>
      </c>
      <c r="E110" s="3" t="s">
        <v>425</v>
      </c>
      <c r="F110" s="3" t="s">
        <v>425</v>
      </c>
    </row>
    <row r="111">
      <c r="A111" s="2">
        <v>9</v>
      </c>
      <c r="B111" s="12" t="s">
        <v>56</v>
      </c>
      <c r="C111" s="12" t="s">
        <v>523</v>
      </c>
      <c r="D111" s="24">
        <v>1.9659128163621629</v>
      </c>
      <c r="E111" s="3" t="s">
        <v>434</v>
      </c>
      <c r="F111" s="3" t="s">
        <v>425</v>
      </c>
    </row>
    <row r="112">
      <c r="A112" s="2">
        <v>9</v>
      </c>
      <c r="B112" s="12" t="s">
        <v>56</v>
      </c>
      <c r="C112" s="12" t="s">
        <v>524</v>
      </c>
      <c r="D112" s="24">
        <v>1.9659128163621629</v>
      </c>
      <c r="E112" s="3" t="s">
        <v>434</v>
      </c>
      <c r="F112" s="3" t="s">
        <v>434</v>
      </c>
    </row>
    <row r="113">
      <c r="A113" s="2">
        <v>9</v>
      </c>
      <c r="B113" s="12" t="s">
        <v>56</v>
      </c>
      <c r="C113" s="12" t="s">
        <v>525</v>
      </c>
      <c r="D113" s="24">
        <v>1.873405509362352</v>
      </c>
      <c r="E113" s="3" t="s">
        <v>434</v>
      </c>
      <c r="F113" s="3" t="s">
        <v>425</v>
      </c>
    </row>
    <row r="114">
      <c r="A114" s="2">
        <v>9</v>
      </c>
      <c r="B114" s="12" t="s">
        <v>56</v>
      </c>
      <c r="C114" s="12" t="s">
        <v>526</v>
      </c>
      <c r="D114" s="24">
        <v>1.629048269010741</v>
      </c>
      <c r="E114" s="3" t="s">
        <v>434</v>
      </c>
      <c r="F114" s="3" t="s">
        <v>434</v>
      </c>
    </row>
    <row r="115">
      <c r="A115" s="2">
        <v>10</v>
      </c>
      <c r="B115" s="12" t="s">
        <v>65</v>
      </c>
      <c r="C115" s="12" t="s">
        <v>527</v>
      </c>
      <c r="D115" s="24">
        <v>4.109809687573053</v>
      </c>
      <c r="E115" s="3" t="s">
        <v>425</v>
      </c>
      <c r="F115" s="3" t="s">
        <v>425</v>
      </c>
    </row>
    <row r="116">
      <c r="A116" s="2">
        <v>10</v>
      </c>
      <c r="B116" s="12" t="s">
        <v>65</v>
      </c>
      <c r="C116" s="12" t="s">
        <v>528</v>
      </c>
      <c r="D116" s="24">
        <v>1.9659128163621629</v>
      </c>
      <c r="E116" s="3" t="s">
        <v>425</v>
      </c>
      <c r="F116" s="3" t="s">
        <v>425</v>
      </c>
    </row>
    <row r="117">
      <c r="A117" s="2">
        <v>10</v>
      </c>
      <c r="B117" s="12" t="s">
        <v>65</v>
      </c>
      <c r="C117" s="12" t="s">
        <v>529</v>
      </c>
      <c r="D117" s="24">
        <v>1.9659128163621629</v>
      </c>
      <c r="E117" s="3" t="s">
        <v>425</v>
      </c>
      <c r="F117" s="3" t="s">
        <v>425</v>
      </c>
    </row>
    <row r="118">
      <c r="A118" s="2">
        <v>10</v>
      </c>
      <c r="B118" s="12" t="s">
        <v>65</v>
      </c>
      <c r="C118" s="12" t="s">
        <v>530</v>
      </c>
      <c r="D118" s="24">
        <v>1.873405509362352</v>
      </c>
      <c r="E118" s="3" t="s">
        <v>425</v>
      </c>
      <c r="F118" s="3" t="s">
        <v>425</v>
      </c>
    </row>
    <row r="119">
      <c r="A119" s="2">
        <v>10</v>
      </c>
      <c r="B119" s="12" t="s">
        <v>65</v>
      </c>
      <c r="C119" s="12" t="s">
        <v>531</v>
      </c>
      <c r="D119" s="24">
        <v>1.873405509362352</v>
      </c>
      <c r="E119" s="3" t="s">
        <v>425</v>
      </c>
      <c r="F119" s="3" t="s">
        <v>425</v>
      </c>
    </row>
    <row r="120">
      <c r="A120" s="2">
        <v>10</v>
      </c>
      <c r="B120" s="12" t="s">
        <v>65</v>
      </c>
      <c r="C120" s="12" t="s">
        <v>532</v>
      </c>
      <c r="D120" s="24">
        <v>1.629048269010741</v>
      </c>
      <c r="E120" s="3" t="s">
        <v>434</v>
      </c>
      <c r="F120" s="3" t="s">
        <v>425</v>
      </c>
    </row>
    <row r="121">
      <c r="A121" s="2">
        <v>10</v>
      </c>
      <c r="B121" s="12" t="s">
        <v>65</v>
      </c>
      <c r="C121" s="12" t="s">
        <v>533</v>
      </c>
      <c r="D121" s="24">
        <v>1.629048269010741</v>
      </c>
      <c r="E121" s="3" t="s">
        <v>434</v>
      </c>
      <c r="F121" s="3" t="s">
        <v>425</v>
      </c>
    </row>
    <row r="122">
      <c r="A122" s="2">
        <v>10</v>
      </c>
      <c r="B122" s="12" t="s">
        <v>65</v>
      </c>
      <c r="C122" s="12" t="s">
        <v>534</v>
      </c>
      <c r="D122" s="24">
        <v>1.629048269010741</v>
      </c>
      <c r="E122" s="3" t="s">
        <v>434</v>
      </c>
      <c r="F122" s="3" t="s">
        <v>425</v>
      </c>
    </row>
    <row r="123">
      <c r="A123" s="2">
        <v>10</v>
      </c>
      <c r="B123" s="12" t="s">
        <v>65</v>
      </c>
      <c r="C123" s="12" t="s">
        <v>535</v>
      </c>
      <c r="D123" s="24">
        <v>1.3013448427221919</v>
      </c>
      <c r="E123" s="3" t="s">
        <v>434</v>
      </c>
      <c r="F123" s="3" t="s">
        <v>425</v>
      </c>
    </row>
    <row r="124">
      <c r="A124" s="2">
        <v>10</v>
      </c>
      <c r="B124" s="12" t="s">
        <v>65</v>
      </c>
      <c r="C124" s="12" t="s">
        <v>536</v>
      </c>
      <c r="D124" s="24">
        <v>1.3013448427221919</v>
      </c>
      <c r="E124" s="3" t="s">
        <v>434</v>
      </c>
      <c r="F124" s="3" t="s">
        <v>425</v>
      </c>
    </row>
    <row r="125">
      <c r="A125" s="2">
        <v>10</v>
      </c>
      <c r="B125" s="12" t="s">
        <v>65</v>
      </c>
      <c r="C125" s="12" t="s">
        <v>440</v>
      </c>
      <c r="D125" s="24">
        <v>1.1989476363991853</v>
      </c>
      <c r="E125" s="3" t="s">
        <v>434</v>
      </c>
      <c r="F125" s="3" t="s">
        <v>425</v>
      </c>
    </row>
    <row r="126">
      <c r="A126" s="2">
        <v>10</v>
      </c>
      <c r="B126" s="12" t="s">
        <v>65</v>
      </c>
      <c r="C126" s="12" t="s">
        <v>537</v>
      </c>
      <c r="D126" s="24">
        <v>1.1989476363991853</v>
      </c>
      <c r="E126" s="3" t="s">
        <v>434</v>
      </c>
      <c r="F126" s="3" t="s">
        <v>425</v>
      </c>
    </row>
    <row r="127">
      <c r="A127" s="2">
        <v>11</v>
      </c>
      <c r="B127" s="12" t="s">
        <v>54</v>
      </c>
      <c r="C127" s="12" t="s">
        <v>538</v>
      </c>
      <c r="D127" s="24">
        <v>1.9659128163621629</v>
      </c>
      <c r="E127" s="3" t="s">
        <v>425</v>
      </c>
      <c r="F127" s="3" t="s">
        <v>425</v>
      </c>
    </row>
    <row r="128">
      <c r="A128" s="2">
        <v>11</v>
      </c>
      <c r="B128" s="12" t="s">
        <v>54</v>
      </c>
      <c r="C128" s="12" t="s">
        <v>539</v>
      </c>
      <c r="D128" s="24">
        <v>1.9659128163621629</v>
      </c>
      <c r="E128" s="3" t="s">
        <v>425</v>
      </c>
      <c r="F128" s="3" t="s">
        <v>425</v>
      </c>
    </row>
    <row r="129">
      <c r="A129" s="2">
        <v>11</v>
      </c>
      <c r="B129" s="12" t="s">
        <v>54</v>
      </c>
      <c r="C129" s="12" t="s">
        <v>540</v>
      </c>
      <c r="D129" s="24">
        <v>1.9659128163621629</v>
      </c>
      <c r="E129" s="3" t="s">
        <v>425</v>
      </c>
      <c r="F129" s="3" t="s">
        <v>425</v>
      </c>
    </row>
    <row r="130">
      <c r="A130" s="2">
        <v>11</v>
      </c>
      <c r="B130" s="12" t="s">
        <v>54</v>
      </c>
      <c r="C130" s="12" t="s">
        <v>541</v>
      </c>
      <c r="D130" s="24">
        <v>1.629048269010741</v>
      </c>
      <c r="E130" s="3" t="s">
        <v>425</v>
      </c>
      <c r="F130" s="3" t="s">
        <v>425</v>
      </c>
    </row>
    <row r="131">
      <c r="A131" s="2">
        <v>11</v>
      </c>
      <c r="B131" s="12" t="s">
        <v>54</v>
      </c>
      <c r="C131" s="12" t="s">
        <v>542</v>
      </c>
      <c r="D131" s="24">
        <v>1.629048269010741</v>
      </c>
      <c r="E131" s="3" t="s">
        <v>425</v>
      </c>
      <c r="F131" s="3" t="s">
        <v>425</v>
      </c>
    </row>
    <row r="132">
      <c r="A132" s="2">
        <v>11</v>
      </c>
      <c r="B132" s="12" t="s">
        <v>54</v>
      </c>
      <c r="C132" s="12" t="s">
        <v>543</v>
      </c>
      <c r="D132" s="24">
        <v>1.629048269010741</v>
      </c>
      <c r="E132" s="3" t="s">
        <v>434</v>
      </c>
      <c r="F132" s="3" t="s">
        <v>425</v>
      </c>
    </row>
    <row r="133">
      <c r="A133" s="2">
        <v>11</v>
      </c>
      <c r="B133" s="12" t="s">
        <v>54</v>
      </c>
      <c r="C133" s="12" t="s">
        <v>544</v>
      </c>
      <c r="D133" s="24">
        <v>1.629048269010741</v>
      </c>
      <c r="E133" s="3" t="s">
        <v>434</v>
      </c>
      <c r="F133" s="3" t="s">
        <v>425</v>
      </c>
    </row>
    <row r="134">
      <c r="A134" s="2">
        <v>11</v>
      </c>
      <c r="B134" s="12" t="s">
        <v>54</v>
      </c>
      <c r="C134" s="12" t="s">
        <v>455</v>
      </c>
      <c r="D134" s="24">
        <v>1.4358398124420062</v>
      </c>
      <c r="E134" s="3" t="s">
        <v>434</v>
      </c>
      <c r="F134" s="3" t="s">
        <v>425</v>
      </c>
    </row>
    <row r="135">
      <c r="A135" s="2">
        <v>11</v>
      </c>
      <c r="B135" s="12" t="s">
        <v>54</v>
      </c>
      <c r="C135" s="12" t="s">
        <v>545</v>
      </c>
      <c r="D135" s="24">
        <v>1.4358398124420062</v>
      </c>
      <c r="E135" s="3" t="s">
        <v>434</v>
      </c>
      <c r="F135" s="3" t="s">
        <v>425</v>
      </c>
    </row>
    <row r="136">
      <c r="A136" s="2">
        <v>11</v>
      </c>
      <c r="B136" s="12" t="s">
        <v>54</v>
      </c>
      <c r="C136" s="12" t="s">
        <v>546</v>
      </c>
      <c r="D136" s="24">
        <v>1.4358398124420062</v>
      </c>
      <c r="E136" s="3" t="s">
        <v>434</v>
      </c>
      <c r="F136" s="3" t="s">
        <v>425</v>
      </c>
    </row>
    <row r="137">
      <c r="A137" s="2">
        <v>11</v>
      </c>
      <c r="B137" s="12" t="s">
        <v>54</v>
      </c>
      <c r="C137" s="12" t="s">
        <v>472</v>
      </c>
      <c r="D137" s="24">
        <v>1.378789781859063</v>
      </c>
      <c r="E137" s="3" t="s">
        <v>434</v>
      </c>
      <c r="F137" s="3" t="s">
        <v>425</v>
      </c>
    </row>
    <row r="138">
      <c r="A138" s="2">
        <v>11</v>
      </c>
      <c r="B138" s="12" t="s">
        <v>54</v>
      </c>
      <c r="C138" s="12" t="s">
        <v>535</v>
      </c>
      <c r="D138" s="24">
        <v>1.3013448427221919</v>
      </c>
      <c r="E138" s="3" t="s">
        <v>434</v>
      </c>
      <c r="F138" s="3" t="s">
        <v>425</v>
      </c>
    </row>
    <row r="139">
      <c r="A139" s="2">
        <v>12</v>
      </c>
      <c r="B139" s="12" t="s">
        <v>74</v>
      </c>
      <c r="C139" s="12" t="s">
        <v>547</v>
      </c>
      <c r="D139" s="24">
        <v>4.59468739981442</v>
      </c>
      <c r="E139" s="3" t="s">
        <v>425</v>
      </c>
      <c r="F139" s="3" t="s">
        <v>425</v>
      </c>
    </row>
    <row r="140">
      <c r="A140" s="2">
        <v>12</v>
      </c>
      <c r="B140" s="12" t="s">
        <v>74</v>
      </c>
      <c r="C140" s="12" t="s">
        <v>548</v>
      </c>
      <c r="D140" s="24">
        <v>2.260799738816487</v>
      </c>
      <c r="E140" s="3" t="s">
        <v>425</v>
      </c>
      <c r="F140" s="3" t="s">
        <v>425</v>
      </c>
    </row>
    <row r="141">
      <c r="A141" s="2">
        <v>12</v>
      </c>
      <c r="B141" s="12" t="s">
        <v>74</v>
      </c>
      <c r="C141" s="12" t="s">
        <v>549</v>
      </c>
      <c r="D141" s="24">
        <v>1.9659128163621629</v>
      </c>
      <c r="E141" s="3" t="s">
        <v>425</v>
      </c>
      <c r="F141" s="3" t="s">
        <v>425</v>
      </c>
    </row>
    <row r="142">
      <c r="A142" s="2">
        <v>12</v>
      </c>
      <c r="B142" s="12" t="s">
        <v>74</v>
      </c>
      <c r="C142" s="12" t="s">
        <v>550</v>
      </c>
      <c r="D142" s="24">
        <v>1.9659128163621629</v>
      </c>
      <c r="E142" s="3" t="s">
        <v>425</v>
      </c>
      <c r="F142" s="3" t="s">
        <v>425</v>
      </c>
    </row>
    <row r="143">
      <c r="A143" s="2">
        <v>12</v>
      </c>
      <c r="B143" s="12" t="s">
        <v>74</v>
      </c>
      <c r="C143" s="12" t="s">
        <v>551</v>
      </c>
      <c r="D143" s="24">
        <v>1.9659128163621629</v>
      </c>
      <c r="E143" s="3" t="s">
        <v>425</v>
      </c>
      <c r="F143" s="3" t="s">
        <v>425</v>
      </c>
    </row>
    <row r="144">
      <c r="A144" s="2">
        <v>12</v>
      </c>
      <c r="B144" s="12" t="s">
        <v>74</v>
      </c>
      <c r="C144" s="12" t="s">
        <v>552</v>
      </c>
      <c r="D144" s="24">
        <v>1.9659128163621629</v>
      </c>
      <c r="E144" s="3" t="s">
        <v>434</v>
      </c>
      <c r="F144" s="3" t="s">
        <v>425</v>
      </c>
    </row>
    <row r="145">
      <c r="A145" s="2">
        <v>12</v>
      </c>
      <c r="B145" s="12" t="s">
        <v>74</v>
      </c>
      <c r="C145" s="12" t="s">
        <v>435</v>
      </c>
      <c r="D145" s="24">
        <v>1.629048269010741</v>
      </c>
      <c r="E145" s="3" t="s">
        <v>434</v>
      </c>
      <c r="F145" s="3" t="s">
        <v>425</v>
      </c>
    </row>
    <row r="146">
      <c r="A146" s="2">
        <v>12</v>
      </c>
      <c r="B146" s="12" t="s">
        <v>74</v>
      </c>
      <c r="C146" s="12" t="s">
        <v>553</v>
      </c>
      <c r="D146" s="24">
        <v>1.629048269010741</v>
      </c>
      <c r="E146" s="3" t="s">
        <v>434</v>
      </c>
      <c r="F146" s="3" t="s">
        <v>425</v>
      </c>
    </row>
    <row r="147">
      <c r="A147" s="2">
        <v>12</v>
      </c>
      <c r="B147" s="12" t="s">
        <v>74</v>
      </c>
      <c r="C147" s="12" t="s">
        <v>554</v>
      </c>
      <c r="D147" s="24">
        <v>1.629048269010741</v>
      </c>
      <c r="E147" s="3" t="s">
        <v>434</v>
      </c>
      <c r="F147" s="3" t="s">
        <v>425</v>
      </c>
    </row>
    <row r="148">
      <c r="A148" s="2">
        <v>12</v>
      </c>
      <c r="B148" s="12" t="s">
        <v>74</v>
      </c>
      <c r="C148" s="12" t="s">
        <v>467</v>
      </c>
      <c r="D148" s="24">
        <v>1.4358398124420062</v>
      </c>
      <c r="E148" s="3" t="s">
        <v>434</v>
      </c>
      <c r="F148" s="3" t="s">
        <v>425</v>
      </c>
    </row>
    <row r="149">
      <c r="A149" s="2">
        <v>12</v>
      </c>
      <c r="B149" s="12" t="s">
        <v>74</v>
      </c>
      <c r="C149" s="12" t="s">
        <v>555</v>
      </c>
      <c r="D149" s="24">
        <v>1.3013448427221919</v>
      </c>
      <c r="E149" s="3" t="s">
        <v>434</v>
      </c>
      <c r="F149" s="3" t="s">
        <v>425</v>
      </c>
    </row>
    <row r="150">
      <c r="A150" s="2">
        <v>13</v>
      </c>
      <c r="B150" s="12" t="s">
        <v>57</v>
      </c>
      <c r="C150" s="12" t="s">
        <v>556</v>
      </c>
      <c r="D150" s="24">
        <v>5.212954460834371</v>
      </c>
      <c r="E150" s="3" t="s">
        <v>425</v>
      </c>
      <c r="F150" s="3" t="s">
        <v>434</v>
      </c>
    </row>
    <row r="151">
      <c r="A151" s="2">
        <v>13</v>
      </c>
      <c r="B151" s="12" t="s">
        <v>57</v>
      </c>
      <c r="C151" s="12" t="s">
        <v>557</v>
      </c>
      <c r="D151" s="24">
        <v>4.59468739981442</v>
      </c>
      <c r="E151" s="3" t="s">
        <v>425</v>
      </c>
      <c r="F151" s="3" t="s">
        <v>434</v>
      </c>
    </row>
    <row r="152">
      <c r="A152" s="2">
        <v>13</v>
      </c>
      <c r="B152" s="12" t="s">
        <v>57</v>
      </c>
      <c r="C152" s="12" t="s">
        <v>558</v>
      </c>
      <c r="D152" s="24">
        <v>1.9659128163621629</v>
      </c>
      <c r="E152" s="3" t="s">
        <v>425</v>
      </c>
      <c r="F152" s="3" t="s">
        <v>434</v>
      </c>
    </row>
    <row r="153">
      <c r="A153" s="2">
        <v>13</v>
      </c>
      <c r="B153" s="12" t="s">
        <v>57</v>
      </c>
      <c r="C153" s="12" t="s">
        <v>559</v>
      </c>
      <c r="D153" s="24">
        <v>1.9659128163621629</v>
      </c>
      <c r="E153" s="3" t="s">
        <v>425</v>
      </c>
      <c r="F153" s="3" t="s">
        <v>434</v>
      </c>
    </row>
    <row r="154">
      <c r="A154" s="2">
        <v>13</v>
      </c>
      <c r="B154" s="12" t="s">
        <v>57</v>
      </c>
      <c r="C154" s="12" t="s">
        <v>560</v>
      </c>
      <c r="D154" s="24">
        <v>1.9659128163621629</v>
      </c>
      <c r="E154" s="3" t="s">
        <v>425</v>
      </c>
      <c r="F154" s="3" t="s">
        <v>434</v>
      </c>
    </row>
    <row r="155">
      <c r="A155" s="2">
        <v>13</v>
      </c>
      <c r="B155" s="12" t="s">
        <v>57</v>
      </c>
      <c r="C155" s="12" t="s">
        <v>561</v>
      </c>
      <c r="D155" s="24">
        <v>1.9659128163621629</v>
      </c>
      <c r="E155" s="3" t="s">
        <v>425</v>
      </c>
      <c r="F155" s="3" t="s">
        <v>434</v>
      </c>
    </row>
    <row r="156">
      <c r="A156" s="2">
        <v>13</v>
      </c>
      <c r="B156" s="12" t="s">
        <v>57</v>
      </c>
      <c r="C156" s="12" t="s">
        <v>562</v>
      </c>
      <c r="D156" s="24">
        <v>1.9659128163621629</v>
      </c>
      <c r="E156" s="3" t="s">
        <v>434</v>
      </c>
      <c r="F156" s="3" t="s">
        <v>434</v>
      </c>
    </row>
    <row r="157">
      <c r="A157" s="2">
        <v>13</v>
      </c>
      <c r="B157" s="12" t="s">
        <v>57</v>
      </c>
      <c r="C157" s="12" t="s">
        <v>563</v>
      </c>
      <c r="D157" s="24">
        <v>1.9659128163621629</v>
      </c>
      <c r="E157" s="3" t="s">
        <v>434</v>
      </c>
      <c r="F157" s="3" t="s">
        <v>434</v>
      </c>
    </row>
    <row r="158">
      <c r="A158" s="2">
        <v>13</v>
      </c>
      <c r="B158" s="12" t="s">
        <v>57</v>
      </c>
      <c r="C158" s="12" t="s">
        <v>564</v>
      </c>
      <c r="D158" s="24">
        <v>1.651215784308307</v>
      </c>
      <c r="E158" s="3" t="s">
        <v>434</v>
      </c>
      <c r="F158" s="3" t="s">
        <v>434</v>
      </c>
    </row>
    <row r="159">
      <c r="A159" s="2">
        <v>13</v>
      </c>
      <c r="B159" s="12" t="s">
        <v>57</v>
      </c>
      <c r="C159" s="12" t="s">
        <v>478</v>
      </c>
      <c r="D159" s="24">
        <v>1.629048269010741</v>
      </c>
      <c r="E159" s="3" t="s">
        <v>434</v>
      </c>
      <c r="F159" s="3" t="s">
        <v>434</v>
      </c>
    </row>
    <row r="160">
      <c r="A160" s="2">
        <v>13</v>
      </c>
      <c r="B160" s="12" t="s">
        <v>57</v>
      </c>
      <c r="C160" s="12" t="s">
        <v>565</v>
      </c>
      <c r="D160" s="24">
        <v>1.629048269010741</v>
      </c>
      <c r="E160" s="3" t="s">
        <v>434</v>
      </c>
      <c r="F160" s="3" t="s">
        <v>434</v>
      </c>
    </row>
    <row r="161">
      <c r="A161" s="2">
        <v>13</v>
      </c>
      <c r="B161" s="12" t="s">
        <v>57</v>
      </c>
      <c r="C161" s="12" t="s">
        <v>480</v>
      </c>
      <c r="D161" s="24">
        <v>1.4358398124420062</v>
      </c>
      <c r="E161" s="3" t="s">
        <v>434</v>
      </c>
      <c r="F161" s="3" t="s">
        <v>434</v>
      </c>
    </row>
    <row r="162">
      <c r="A162" s="2">
        <v>13</v>
      </c>
      <c r="B162" s="12" t="s">
        <v>57</v>
      </c>
      <c r="C162" s="12" t="s">
        <v>472</v>
      </c>
      <c r="D162" s="24">
        <v>1.1989476363991853</v>
      </c>
      <c r="E162" s="3" t="s">
        <v>434</v>
      </c>
      <c r="F162" s="3" t="s">
        <v>434</v>
      </c>
    </row>
    <row r="163">
      <c r="A163" s="2">
        <v>14</v>
      </c>
      <c r="B163" s="12" t="s">
        <v>60</v>
      </c>
      <c r="C163" s="12" t="s">
        <v>566</v>
      </c>
      <c r="D163" s="24">
        <v>6.290921012358922</v>
      </c>
      <c r="E163" s="3" t="s">
        <v>425</v>
      </c>
      <c r="F163" s="3" t="s">
        <v>425</v>
      </c>
    </row>
    <row r="164">
      <c r="A164" s="2">
        <v>14</v>
      </c>
      <c r="B164" s="12" t="s">
        <v>60</v>
      </c>
      <c r="C164" s="12" t="s">
        <v>567</v>
      </c>
      <c r="D164" s="24">
        <v>5.212954460834371</v>
      </c>
      <c r="E164" s="3" t="s">
        <v>425</v>
      </c>
      <c r="F164" s="3" t="s">
        <v>425</v>
      </c>
    </row>
    <row r="165">
      <c r="A165" s="2">
        <v>14</v>
      </c>
      <c r="B165" s="12" t="s">
        <v>60</v>
      </c>
      <c r="C165" s="12" t="s">
        <v>568</v>
      </c>
      <c r="D165" s="24">
        <v>4.59468739981442</v>
      </c>
      <c r="E165" s="3" t="s">
        <v>425</v>
      </c>
      <c r="F165" s="3" t="s">
        <v>434</v>
      </c>
    </row>
    <row r="166">
      <c r="A166" s="2">
        <v>14</v>
      </c>
      <c r="B166" s="12" t="s">
        <v>60</v>
      </c>
      <c r="C166" s="12" t="s">
        <v>569</v>
      </c>
      <c r="D166" s="24">
        <v>4.59468739981442</v>
      </c>
      <c r="E166" s="3" t="s">
        <v>425</v>
      </c>
      <c r="F166" s="3" t="s">
        <v>434</v>
      </c>
    </row>
    <row r="167">
      <c r="A167" s="2">
        <v>14</v>
      </c>
      <c r="B167" s="12" t="s">
        <v>60</v>
      </c>
      <c r="C167" s="12" t="s">
        <v>570</v>
      </c>
      <c r="D167" s="24">
        <v>1.9659128163621629</v>
      </c>
      <c r="E167" s="3" t="s">
        <v>425</v>
      </c>
      <c r="F167" s="3" t="s">
        <v>425</v>
      </c>
    </row>
    <row r="168">
      <c r="A168" s="2">
        <v>14</v>
      </c>
      <c r="B168" s="12" t="s">
        <v>60</v>
      </c>
      <c r="C168" s="12" t="s">
        <v>571</v>
      </c>
      <c r="D168" s="24">
        <v>1.9659128163621629</v>
      </c>
      <c r="E168" s="3" t="s">
        <v>425</v>
      </c>
      <c r="F168" s="3" t="s">
        <v>425</v>
      </c>
    </row>
    <row r="169">
      <c r="A169" s="2">
        <v>14</v>
      </c>
      <c r="B169" s="12" t="s">
        <v>60</v>
      </c>
      <c r="C169" s="12" t="s">
        <v>572</v>
      </c>
      <c r="D169" s="24">
        <v>1.9659128163621629</v>
      </c>
      <c r="E169" s="3" t="s">
        <v>425</v>
      </c>
      <c r="F169" s="3" t="s">
        <v>425</v>
      </c>
    </row>
    <row r="170">
      <c r="A170" s="2">
        <v>14</v>
      </c>
      <c r="B170" s="12" t="s">
        <v>60</v>
      </c>
      <c r="C170" s="12" t="s">
        <v>433</v>
      </c>
      <c r="D170" s="24">
        <v>1.629048269010741</v>
      </c>
      <c r="E170" s="3" t="s">
        <v>434</v>
      </c>
      <c r="F170" s="3" t="s">
        <v>425</v>
      </c>
    </row>
    <row r="171">
      <c r="A171" s="2">
        <v>14</v>
      </c>
      <c r="B171" s="12" t="s">
        <v>60</v>
      </c>
      <c r="C171" s="12" t="s">
        <v>573</v>
      </c>
      <c r="D171" s="24">
        <v>1.629048269010741</v>
      </c>
      <c r="E171" s="3" t="s">
        <v>434</v>
      </c>
      <c r="F171" s="3" t="s">
        <v>425</v>
      </c>
    </row>
    <row r="172">
      <c r="A172" s="2">
        <v>14</v>
      </c>
      <c r="B172" s="12" t="s">
        <v>60</v>
      </c>
      <c r="C172" s="12" t="s">
        <v>526</v>
      </c>
      <c r="D172" s="24">
        <v>1.629048269010741</v>
      </c>
      <c r="E172" s="3" t="s">
        <v>434</v>
      </c>
      <c r="F172" s="3" t="s">
        <v>425</v>
      </c>
    </row>
    <row r="173">
      <c r="A173" s="2">
        <v>14</v>
      </c>
      <c r="B173" s="12" t="s">
        <v>60</v>
      </c>
      <c r="C173" s="12" t="s">
        <v>534</v>
      </c>
      <c r="D173" s="24">
        <v>1.629048269010741</v>
      </c>
      <c r="E173" s="3" t="s">
        <v>434</v>
      </c>
      <c r="F173" s="3" t="s">
        <v>425</v>
      </c>
    </row>
    <row r="174">
      <c r="A174" s="2">
        <v>14</v>
      </c>
      <c r="B174" s="12" t="s">
        <v>60</v>
      </c>
      <c r="C174" s="12" t="s">
        <v>574</v>
      </c>
      <c r="D174" s="24">
        <v>1.629048269010741</v>
      </c>
      <c r="E174" s="3" t="s">
        <v>434</v>
      </c>
      <c r="F174" s="3" t="s">
        <v>425</v>
      </c>
    </row>
    <row r="175">
      <c r="A175" s="2">
        <v>14</v>
      </c>
      <c r="B175" s="12" t="s">
        <v>60</v>
      </c>
      <c r="C175" s="12" t="s">
        <v>575</v>
      </c>
      <c r="D175" s="24">
        <v>1.629048269010741</v>
      </c>
      <c r="E175" s="3" t="s">
        <v>434</v>
      </c>
      <c r="F175" s="3" t="s">
        <v>425</v>
      </c>
    </row>
    <row r="176">
      <c r="A176" s="2">
        <v>14</v>
      </c>
      <c r="B176" s="12" t="s">
        <v>60</v>
      </c>
      <c r="C176" s="12" t="s">
        <v>576</v>
      </c>
      <c r="D176" s="24">
        <v>1.4358398124420062</v>
      </c>
      <c r="E176" s="3" t="s">
        <v>434</v>
      </c>
      <c r="F176" s="3" t="s">
        <v>425</v>
      </c>
    </row>
    <row r="177">
      <c r="A177" s="2">
        <v>14</v>
      </c>
      <c r="B177" s="12" t="s">
        <v>60</v>
      </c>
      <c r="C177" s="12" t="s">
        <v>439</v>
      </c>
      <c r="D177" s="24">
        <v>1.3703828730999525</v>
      </c>
      <c r="E177" s="3" t="s">
        <v>434</v>
      </c>
      <c r="F177" s="3" t="s">
        <v>425</v>
      </c>
    </row>
    <row r="178">
      <c r="A178" s="2">
        <v>14</v>
      </c>
      <c r="B178" s="12" t="s">
        <v>60</v>
      </c>
      <c r="C178" s="12" t="s">
        <v>577</v>
      </c>
      <c r="D178" s="24">
        <v>1.1989476363991853</v>
      </c>
      <c r="E178" s="3" t="s">
        <v>434</v>
      </c>
      <c r="F178" s="3" t="s">
        <v>425</v>
      </c>
    </row>
    <row r="179">
      <c r="A179" s="2">
        <v>15</v>
      </c>
      <c r="B179" s="12" t="s">
        <v>63</v>
      </c>
      <c r="C179" s="12" t="s">
        <v>578</v>
      </c>
      <c r="D179" s="24">
        <v>6.290921012358922</v>
      </c>
      <c r="E179" s="3" t="s">
        <v>425</v>
      </c>
      <c r="F179" s="3" t="s">
        <v>425</v>
      </c>
    </row>
    <row r="180">
      <c r="A180" s="2">
        <v>15</v>
      </c>
      <c r="B180" s="12" t="s">
        <v>63</v>
      </c>
      <c r="C180" s="12" t="s">
        <v>579</v>
      </c>
      <c r="D180" s="24">
        <v>5.212954460834371</v>
      </c>
      <c r="E180" s="3" t="s">
        <v>425</v>
      </c>
      <c r="F180" s="3" t="s">
        <v>425</v>
      </c>
    </row>
    <row r="181">
      <c r="A181" s="2">
        <v>15</v>
      </c>
      <c r="B181" s="12" t="s">
        <v>63</v>
      </c>
      <c r="C181" s="12" t="s">
        <v>513</v>
      </c>
      <c r="D181" s="24">
        <v>3.573747554411351</v>
      </c>
      <c r="E181" s="3" t="s">
        <v>425</v>
      </c>
      <c r="F181" s="3" t="s">
        <v>425</v>
      </c>
    </row>
    <row r="182">
      <c r="A182" s="2">
        <v>15</v>
      </c>
      <c r="B182" s="12" t="s">
        <v>63</v>
      </c>
      <c r="C182" s="12" t="s">
        <v>580</v>
      </c>
      <c r="D182" s="24">
        <v>1.9659128163621629</v>
      </c>
      <c r="E182" s="3" t="s">
        <v>425</v>
      </c>
      <c r="F182" s="3" t="s">
        <v>425</v>
      </c>
    </row>
    <row r="183">
      <c r="A183" s="2">
        <v>15</v>
      </c>
      <c r="B183" s="12" t="s">
        <v>63</v>
      </c>
      <c r="C183" s="12" t="s">
        <v>581</v>
      </c>
      <c r="D183" s="24">
        <v>1.9659128163621629</v>
      </c>
      <c r="E183" s="3" t="s">
        <v>425</v>
      </c>
      <c r="F183" s="3" t="s">
        <v>425</v>
      </c>
    </row>
    <row r="184">
      <c r="A184" s="2">
        <v>15</v>
      </c>
      <c r="B184" s="12" t="s">
        <v>63</v>
      </c>
      <c r="C184" s="12" t="s">
        <v>582</v>
      </c>
      <c r="D184" s="24">
        <v>1.9659128163621629</v>
      </c>
      <c r="E184" s="3" t="s">
        <v>425</v>
      </c>
      <c r="F184" s="3" t="s">
        <v>425</v>
      </c>
    </row>
    <row r="185">
      <c r="A185" s="2">
        <v>15</v>
      </c>
      <c r="B185" s="12" t="s">
        <v>63</v>
      </c>
      <c r="C185" s="12" t="s">
        <v>583</v>
      </c>
      <c r="D185" s="24">
        <v>1.9659128163621629</v>
      </c>
      <c r="E185" s="3" t="s">
        <v>425</v>
      </c>
      <c r="F185" s="3" t="s">
        <v>425</v>
      </c>
    </row>
    <row r="186">
      <c r="A186" s="2">
        <v>15</v>
      </c>
      <c r="B186" s="12" t="s">
        <v>63</v>
      </c>
      <c r="C186" s="12" t="s">
        <v>584</v>
      </c>
      <c r="D186" s="24">
        <v>1.9659128163621629</v>
      </c>
      <c r="E186" s="3" t="s">
        <v>425</v>
      </c>
      <c r="F186" s="3" t="s">
        <v>425</v>
      </c>
    </row>
    <row r="187">
      <c r="A187" s="2">
        <v>15</v>
      </c>
      <c r="B187" s="12" t="s">
        <v>63</v>
      </c>
      <c r="C187" s="12" t="s">
        <v>438</v>
      </c>
      <c r="D187" s="24">
        <v>1.651215784308307</v>
      </c>
      <c r="E187" s="3" t="s">
        <v>434</v>
      </c>
      <c r="F187" s="3" t="s">
        <v>425</v>
      </c>
    </row>
    <row r="188">
      <c r="A188" s="2">
        <v>15</v>
      </c>
      <c r="B188" s="12" t="s">
        <v>63</v>
      </c>
      <c r="C188" s="12" t="s">
        <v>585</v>
      </c>
      <c r="D188" s="24">
        <v>1.629048269010741</v>
      </c>
      <c r="E188" s="3" t="s">
        <v>434</v>
      </c>
      <c r="F188" s="3" t="s">
        <v>425</v>
      </c>
    </row>
    <row r="189">
      <c r="A189" s="2">
        <v>15</v>
      </c>
      <c r="B189" s="12" t="s">
        <v>63</v>
      </c>
      <c r="C189" s="12" t="s">
        <v>586</v>
      </c>
      <c r="D189" s="24">
        <v>1.629048269010741</v>
      </c>
      <c r="E189" s="3" t="s">
        <v>434</v>
      </c>
      <c r="F189" s="3" t="s">
        <v>425</v>
      </c>
    </row>
    <row r="190">
      <c r="A190" s="2">
        <v>15</v>
      </c>
      <c r="B190" s="12" t="s">
        <v>63</v>
      </c>
      <c r="C190" s="12" t="s">
        <v>587</v>
      </c>
      <c r="D190" s="24">
        <v>1.629048269010741</v>
      </c>
      <c r="E190" s="3" t="s">
        <v>434</v>
      </c>
      <c r="F190" s="3" t="s">
        <v>425</v>
      </c>
    </row>
    <row r="191">
      <c r="A191" s="2">
        <v>15</v>
      </c>
      <c r="B191" s="12" t="s">
        <v>63</v>
      </c>
      <c r="C191" s="12" t="s">
        <v>588</v>
      </c>
      <c r="D191" s="24">
        <v>1.629048269010741</v>
      </c>
      <c r="E191" s="3" t="s">
        <v>434</v>
      </c>
      <c r="F191" s="3" t="s">
        <v>425</v>
      </c>
    </row>
    <row r="192">
      <c r="A192" s="2">
        <v>15</v>
      </c>
      <c r="B192" s="12" t="s">
        <v>63</v>
      </c>
      <c r="C192" s="12" t="s">
        <v>589</v>
      </c>
      <c r="D192" s="24">
        <v>1.629048269010741</v>
      </c>
      <c r="E192" s="3" t="s">
        <v>434</v>
      </c>
      <c r="F192" s="3" t="s">
        <v>425</v>
      </c>
    </row>
    <row r="193">
      <c r="A193" s="2">
        <v>15</v>
      </c>
      <c r="B193" s="12" t="s">
        <v>63</v>
      </c>
      <c r="C193" s="12" t="s">
        <v>590</v>
      </c>
      <c r="D193" s="24">
        <v>1.629048269010741</v>
      </c>
      <c r="E193" s="3" t="s">
        <v>434</v>
      </c>
      <c r="F193" s="3" t="s">
        <v>425</v>
      </c>
    </row>
    <row r="194">
      <c r="A194" s="2">
        <v>15</v>
      </c>
      <c r="B194" s="12" t="s">
        <v>63</v>
      </c>
      <c r="C194" s="12" t="s">
        <v>591</v>
      </c>
      <c r="D194" s="24">
        <v>1.629048269010741</v>
      </c>
      <c r="E194" s="3" t="s">
        <v>434</v>
      </c>
      <c r="F194" s="3" t="s">
        <v>425</v>
      </c>
    </row>
    <row r="195">
      <c r="A195" s="2">
        <v>15</v>
      </c>
      <c r="B195" s="12" t="s">
        <v>63</v>
      </c>
      <c r="C195" s="12" t="s">
        <v>592</v>
      </c>
      <c r="D195" s="24">
        <v>1.4358398124420062</v>
      </c>
      <c r="E195" s="3" t="s">
        <v>434</v>
      </c>
      <c r="F195" s="3" t="s">
        <v>425</v>
      </c>
    </row>
    <row r="196">
      <c r="A196" s="2">
        <v>15</v>
      </c>
      <c r="B196" s="12" t="s">
        <v>63</v>
      </c>
      <c r="C196" s="12" t="s">
        <v>593</v>
      </c>
      <c r="D196" s="24">
        <v>1.4358398124420062</v>
      </c>
      <c r="E196" s="3" t="s">
        <v>434</v>
      </c>
      <c r="F196" s="3" t="s">
        <v>425</v>
      </c>
    </row>
    <row r="197">
      <c r="A197" s="2">
        <v>16</v>
      </c>
      <c r="B197" s="12" t="s">
        <v>57</v>
      </c>
      <c r="C197" s="12" t="s">
        <v>594</v>
      </c>
      <c r="D197" s="24">
        <v>4.59468739981442</v>
      </c>
      <c r="E197" s="3" t="s">
        <v>425</v>
      </c>
      <c r="F197" s="3" t="s">
        <v>425</v>
      </c>
    </row>
    <row r="198">
      <c r="A198" s="2">
        <v>16</v>
      </c>
      <c r="B198" s="12" t="s">
        <v>57</v>
      </c>
      <c r="C198" s="12" t="s">
        <v>461</v>
      </c>
      <c r="D198" s="24">
        <v>4.164303496711014</v>
      </c>
      <c r="E198" s="3" t="s">
        <v>425</v>
      </c>
      <c r="F198" s="3" t="s">
        <v>425</v>
      </c>
    </row>
    <row r="199">
      <c r="A199" s="2">
        <v>16</v>
      </c>
      <c r="B199" s="12" t="s">
        <v>57</v>
      </c>
      <c r="C199" s="12" t="s">
        <v>595</v>
      </c>
      <c r="D199" s="24">
        <v>1.9659128163621629</v>
      </c>
      <c r="E199" s="3" t="s">
        <v>425</v>
      </c>
      <c r="F199" s="3" t="s">
        <v>425</v>
      </c>
    </row>
    <row r="200">
      <c r="A200" s="2">
        <v>16</v>
      </c>
      <c r="B200" s="12" t="s">
        <v>57</v>
      </c>
      <c r="C200" s="12" t="s">
        <v>588</v>
      </c>
      <c r="D200" s="24">
        <v>1.629048269010741</v>
      </c>
      <c r="E200" s="3" t="s">
        <v>425</v>
      </c>
      <c r="F200" s="3" t="s">
        <v>425</v>
      </c>
    </row>
    <row r="201">
      <c r="A201" s="2">
        <v>16</v>
      </c>
      <c r="B201" s="12" t="s">
        <v>57</v>
      </c>
      <c r="C201" s="12" t="s">
        <v>596</v>
      </c>
      <c r="D201" s="24">
        <v>1.629048269010741</v>
      </c>
      <c r="E201" s="3" t="s">
        <v>425</v>
      </c>
      <c r="F201" s="3" t="s">
        <v>425</v>
      </c>
    </row>
    <row r="202">
      <c r="A202" s="2">
        <v>16</v>
      </c>
      <c r="B202" s="12" t="s">
        <v>57</v>
      </c>
      <c r="C202" s="12" t="s">
        <v>597</v>
      </c>
      <c r="D202" s="24">
        <v>1.629048269010741</v>
      </c>
      <c r="E202" s="3" t="s">
        <v>425</v>
      </c>
      <c r="F202" s="3" t="s">
        <v>425</v>
      </c>
    </row>
    <row r="203">
      <c r="A203" s="2">
        <v>16</v>
      </c>
      <c r="B203" s="12" t="s">
        <v>57</v>
      </c>
      <c r="C203" s="12" t="s">
        <v>454</v>
      </c>
      <c r="D203" s="24">
        <v>1.4358398124420062</v>
      </c>
      <c r="E203" s="3" t="s">
        <v>434</v>
      </c>
      <c r="F203" s="3" t="s">
        <v>425</v>
      </c>
    </row>
    <row r="204">
      <c r="A204" s="2">
        <v>16</v>
      </c>
      <c r="B204" s="12" t="s">
        <v>57</v>
      </c>
      <c r="C204" s="12" t="s">
        <v>509</v>
      </c>
      <c r="D204" s="24">
        <v>1.4358398124420062</v>
      </c>
      <c r="E204" s="3" t="s">
        <v>434</v>
      </c>
      <c r="F204" s="3" t="s">
        <v>425</v>
      </c>
    </row>
    <row r="205">
      <c r="A205" s="2">
        <v>16</v>
      </c>
      <c r="B205" s="12" t="s">
        <v>57</v>
      </c>
      <c r="C205" s="12" t="s">
        <v>598</v>
      </c>
      <c r="D205" s="24">
        <v>1.3013448427221919</v>
      </c>
      <c r="E205" s="3" t="s">
        <v>434</v>
      </c>
      <c r="F205" s="3" t="s">
        <v>425</v>
      </c>
    </row>
    <row r="206">
      <c r="A206" s="2">
        <v>16</v>
      </c>
      <c r="B206" s="12" t="s">
        <v>57</v>
      </c>
      <c r="C206" s="12" t="s">
        <v>599</v>
      </c>
      <c r="D206" s="24">
        <v>1.3013448427221919</v>
      </c>
      <c r="E206" s="3" t="s">
        <v>434</v>
      </c>
      <c r="F206" s="3" t="s">
        <v>425</v>
      </c>
    </row>
    <row r="207">
      <c r="A207" s="2">
        <v>16</v>
      </c>
      <c r="B207" s="12" t="s">
        <v>57</v>
      </c>
      <c r="C207" s="12" t="s">
        <v>600</v>
      </c>
      <c r="D207" s="24">
        <v>1.3013448427221919</v>
      </c>
      <c r="E207" s="3" t="s">
        <v>434</v>
      </c>
      <c r="F207" s="3" t="s">
        <v>425</v>
      </c>
    </row>
    <row r="208">
      <c r="A208" s="2">
        <v>16</v>
      </c>
      <c r="B208" s="12" t="s">
        <v>57</v>
      </c>
      <c r="C208" s="12" t="s">
        <v>601</v>
      </c>
      <c r="D208" s="24">
        <v>1.3013448427221919</v>
      </c>
      <c r="E208" s="3" t="s">
        <v>434</v>
      </c>
      <c r="F208" s="3" t="s">
        <v>425</v>
      </c>
    </row>
    <row r="209">
      <c r="A209" s="2">
        <v>16</v>
      </c>
      <c r="B209" s="12" t="s">
        <v>57</v>
      </c>
      <c r="C209" s="12" t="s">
        <v>490</v>
      </c>
      <c r="D209" s="24">
        <v>1.1989476363991853</v>
      </c>
      <c r="E209" s="3" t="s">
        <v>434</v>
      </c>
      <c r="F209" s="3" t="s">
        <v>425</v>
      </c>
    </row>
    <row r="210">
      <c r="A210" s="2">
        <v>17</v>
      </c>
      <c r="B210" s="12" t="s">
        <v>62</v>
      </c>
      <c r="C210" s="12" t="s">
        <v>602</v>
      </c>
      <c r="D210" s="24">
        <v>6.290921012358922</v>
      </c>
      <c r="E210" s="3" t="s">
        <v>425</v>
      </c>
      <c r="F210" s="3" t="s">
        <v>425</v>
      </c>
    </row>
    <row r="211">
      <c r="A211" s="2">
        <v>17</v>
      </c>
      <c r="B211" s="12" t="s">
        <v>62</v>
      </c>
      <c r="C211" s="12" t="s">
        <v>501</v>
      </c>
      <c r="D211" s="24">
        <v>5.212954460834371</v>
      </c>
      <c r="E211" s="3" t="s">
        <v>425</v>
      </c>
      <c r="F211" s="3" t="s">
        <v>425</v>
      </c>
    </row>
    <row r="212">
      <c r="A212" s="2">
        <v>17</v>
      </c>
      <c r="B212" s="12" t="s">
        <v>62</v>
      </c>
      <c r="C212" s="12" t="s">
        <v>603</v>
      </c>
      <c r="D212" s="24">
        <v>3.573747554411351</v>
      </c>
      <c r="E212" s="3" t="s">
        <v>425</v>
      </c>
      <c r="F212" s="3" t="s">
        <v>434</v>
      </c>
    </row>
    <row r="213">
      <c r="A213" s="2">
        <v>17</v>
      </c>
      <c r="B213" s="12" t="s">
        <v>62</v>
      </c>
      <c r="C213" s="12" t="s">
        <v>604</v>
      </c>
      <c r="D213" s="24">
        <v>1.9659128163621629</v>
      </c>
      <c r="E213" s="3" t="s">
        <v>425</v>
      </c>
      <c r="F213" s="3" t="s">
        <v>425</v>
      </c>
    </row>
    <row r="214">
      <c r="A214" s="2">
        <v>17</v>
      </c>
      <c r="B214" s="12" t="s">
        <v>62</v>
      </c>
      <c r="C214" s="12" t="s">
        <v>605</v>
      </c>
      <c r="D214" s="24">
        <v>1.9659128163621629</v>
      </c>
      <c r="E214" s="3" t="s">
        <v>425</v>
      </c>
      <c r="F214" s="3" t="s">
        <v>425</v>
      </c>
    </row>
    <row r="215">
      <c r="A215" s="2">
        <v>17</v>
      </c>
      <c r="B215" s="12" t="s">
        <v>62</v>
      </c>
      <c r="C215" s="12" t="s">
        <v>606</v>
      </c>
      <c r="D215" s="24">
        <v>1.9659128163621629</v>
      </c>
      <c r="E215" s="3" t="s">
        <v>425</v>
      </c>
      <c r="F215" s="3" t="s">
        <v>425</v>
      </c>
    </row>
    <row r="216">
      <c r="A216" s="2">
        <v>17</v>
      </c>
      <c r="B216" s="12" t="s">
        <v>62</v>
      </c>
      <c r="C216" s="12" t="s">
        <v>607</v>
      </c>
      <c r="D216" s="24">
        <v>1.9659128163621629</v>
      </c>
      <c r="E216" s="3" t="s">
        <v>434</v>
      </c>
      <c r="F216" s="3" t="s">
        <v>434</v>
      </c>
    </row>
    <row r="217">
      <c r="A217" s="2">
        <v>17</v>
      </c>
      <c r="B217" s="12" t="s">
        <v>62</v>
      </c>
      <c r="C217" s="12" t="s">
        <v>608</v>
      </c>
      <c r="D217" s="24">
        <v>1.9659128163621629</v>
      </c>
      <c r="E217" s="3" t="s">
        <v>434</v>
      </c>
      <c r="F217" s="3" t="s">
        <v>434</v>
      </c>
    </row>
    <row r="218">
      <c r="A218" s="2">
        <v>17</v>
      </c>
      <c r="B218" s="12" t="s">
        <v>62</v>
      </c>
      <c r="C218" s="12" t="s">
        <v>609</v>
      </c>
      <c r="D218" s="24">
        <v>1.9659128163621629</v>
      </c>
      <c r="E218" s="3" t="s">
        <v>434</v>
      </c>
      <c r="F218" s="3" t="s">
        <v>434</v>
      </c>
    </row>
    <row r="219">
      <c r="A219" s="2">
        <v>17</v>
      </c>
      <c r="B219" s="12" t="s">
        <v>62</v>
      </c>
      <c r="C219" s="12" t="s">
        <v>610</v>
      </c>
      <c r="D219" s="24">
        <v>1.629048269010741</v>
      </c>
      <c r="E219" s="3" t="s">
        <v>434</v>
      </c>
      <c r="F219" s="3" t="s">
        <v>425</v>
      </c>
    </row>
    <row r="220">
      <c r="A220" s="2">
        <v>17</v>
      </c>
      <c r="B220" s="12" t="s">
        <v>62</v>
      </c>
      <c r="C220" s="12" t="s">
        <v>611</v>
      </c>
      <c r="D220" s="24">
        <v>1.629048269010741</v>
      </c>
      <c r="E220" s="3" t="s">
        <v>434</v>
      </c>
      <c r="F220" s="3" t="s">
        <v>425</v>
      </c>
    </row>
    <row r="221">
      <c r="A221" s="2">
        <v>17</v>
      </c>
      <c r="B221" s="12" t="s">
        <v>62</v>
      </c>
      <c r="C221" s="12" t="s">
        <v>612</v>
      </c>
      <c r="D221" s="24">
        <v>1.629048269010741</v>
      </c>
      <c r="E221" s="3" t="s">
        <v>434</v>
      </c>
      <c r="F221" s="3" t="s">
        <v>425</v>
      </c>
    </row>
    <row r="222">
      <c r="A222" s="2">
        <v>17</v>
      </c>
      <c r="B222" s="12" t="s">
        <v>62</v>
      </c>
      <c r="C222" s="12" t="s">
        <v>613</v>
      </c>
      <c r="D222" s="24">
        <v>1.629048269010741</v>
      </c>
      <c r="E222" s="3" t="s">
        <v>434</v>
      </c>
      <c r="F222" s="3" t="s">
        <v>434</v>
      </c>
    </row>
    <row r="223">
      <c r="A223" s="2">
        <v>17</v>
      </c>
      <c r="B223" s="12" t="s">
        <v>62</v>
      </c>
      <c r="C223" s="12" t="s">
        <v>592</v>
      </c>
      <c r="D223" s="24">
        <v>1.4358398124420062</v>
      </c>
      <c r="E223" s="3" t="s">
        <v>434</v>
      </c>
      <c r="F223" s="3" t="s">
        <v>434</v>
      </c>
    </row>
    <row r="224">
      <c r="A224" s="2">
        <v>17</v>
      </c>
      <c r="B224" s="12" t="s">
        <v>62</v>
      </c>
      <c r="C224" s="12" t="s">
        <v>614</v>
      </c>
      <c r="D224" s="24">
        <v>1.4358398124420062</v>
      </c>
      <c r="E224" s="3" t="s">
        <v>434</v>
      </c>
      <c r="F224" s="3" t="s">
        <v>434</v>
      </c>
    </row>
    <row r="225">
      <c r="A225" s="2">
        <v>18</v>
      </c>
      <c r="B225" s="12" t="s">
        <v>52</v>
      </c>
      <c r="C225" s="12" t="s">
        <v>615</v>
      </c>
      <c r="D225" s="24">
        <v>6.290921012358922</v>
      </c>
      <c r="E225" s="3" t="s">
        <v>425</v>
      </c>
      <c r="F225" s="3" t="s">
        <v>434</v>
      </c>
    </row>
    <row r="226">
      <c r="A226" s="2">
        <v>18</v>
      </c>
      <c r="B226" s="12" t="s">
        <v>52</v>
      </c>
      <c r="C226" s="12" t="s">
        <v>616</v>
      </c>
      <c r="D226" s="24">
        <v>6.290921012358922</v>
      </c>
      <c r="E226" s="3" t="s">
        <v>425</v>
      </c>
      <c r="F226" s="3" t="s">
        <v>434</v>
      </c>
    </row>
    <row r="227">
      <c r="A227" s="2">
        <v>18</v>
      </c>
      <c r="B227" s="12" t="s">
        <v>52</v>
      </c>
      <c r="C227" s="12" t="s">
        <v>617</v>
      </c>
      <c r="D227" s="24">
        <v>1.9659128163621629</v>
      </c>
      <c r="E227" s="3" t="s">
        <v>425</v>
      </c>
      <c r="F227" s="3" t="s">
        <v>434</v>
      </c>
    </row>
    <row r="228">
      <c r="A228" s="2">
        <v>18</v>
      </c>
      <c r="B228" s="12" t="s">
        <v>52</v>
      </c>
      <c r="C228" s="12" t="s">
        <v>618</v>
      </c>
      <c r="D228" s="24">
        <v>1.9659128163621629</v>
      </c>
      <c r="E228" s="3" t="s">
        <v>425</v>
      </c>
      <c r="F228" s="3" t="s">
        <v>434</v>
      </c>
    </row>
    <row r="229">
      <c r="A229" s="2">
        <v>18</v>
      </c>
      <c r="B229" s="12" t="s">
        <v>52</v>
      </c>
      <c r="C229" s="12" t="s">
        <v>619</v>
      </c>
      <c r="D229" s="24">
        <v>1.9659128163621629</v>
      </c>
      <c r="E229" s="3" t="s">
        <v>425</v>
      </c>
      <c r="F229" s="3" t="s">
        <v>434</v>
      </c>
    </row>
    <row r="230">
      <c r="A230" s="2">
        <v>18</v>
      </c>
      <c r="B230" s="12" t="s">
        <v>52</v>
      </c>
      <c r="C230" s="12" t="s">
        <v>620</v>
      </c>
      <c r="D230" s="24">
        <v>1.873405509362352</v>
      </c>
      <c r="E230" s="3" t="s">
        <v>434</v>
      </c>
      <c r="F230" s="3" t="s">
        <v>434</v>
      </c>
    </row>
    <row r="231">
      <c r="A231" s="2">
        <v>18</v>
      </c>
      <c r="B231" s="12" t="s">
        <v>52</v>
      </c>
      <c r="C231" s="12" t="s">
        <v>621</v>
      </c>
      <c r="D231" s="24">
        <v>1.651215784308307</v>
      </c>
      <c r="E231" s="3" t="s">
        <v>434</v>
      </c>
      <c r="F231" s="3" t="s">
        <v>434</v>
      </c>
    </row>
    <row r="232">
      <c r="A232" s="2">
        <v>18</v>
      </c>
      <c r="B232" s="12" t="s">
        <v>52</v>
      </c>
      <c r="C232" s="12" t="s">
        <v>432</v>
      </c>
      <c r="D232" s="24">
        <v>1.629048269010741</v>
      </c>
      <c r="E232" s="3" t="s">
        <v>434</v>
      </c>
      <c r="F232" s="3" t="s">
        <v>434</v>
      </c>
    </row>
    <row r="233">
      <c r="A233" s="2">
        <v>18</v>
      </c>
      <c r="B233" s="12" t="s">
        <v>52</v>
      </c>
      <c r="C233" s="12" t="s">
        <v>530</v>
      </c>
      <c r="D233" s="24">
        <v>1.629048269010741</v>
      </c>
      <c r="E233" s="3" t="s">
        <v>434</v>
      </c>
      <c r="F233" s="3" t="s">
        <v>434</v>
      </c>
    </row>
    <row r="234">
      <c r="A234" s="2">
        <v>18</v>
      </c>
      <c r="B234" s="12" t="s">
        <v>52</v>
      </c>
      <c r="C234" s="12" t="s">
        <v>596</v>
      </c>
      <c r="D234" s="24">
        <v>1.629048269010741</v>
      </c>
      <c r="E234" s="3" t="s">
        <v>434</v>
      </c>
      <c r="F234" s="3" t="s">
        <v>434</v>
      </c>
    </row>
    <row r="235">
      <c r="A235" s="2">
        <v>18</v>
      </c>
      <c r="B235" s="12" t="s">
        <v>52</v>
      </c>
      <c r="C235" s="12" t="s">
        <v>510</v>
      </c>
      <c r="D235" s="24">
        <v>1.4358398124420062</v>
      </c>
      <c r="E235" s="3" t="s">
        <v>434</v>
      </c>
      <c r="F235" s="3" t="s">
        <v>434</v>
      </c>
    </row>
    <row r="236">
      <c r="A236" s="2">
        <v>18</v>
      </c>
      <c r="B236" s="12" t="s">
        <v>52</v>
      </c>
      <c r="C236" s="12" t="s">
        <v>622</v>
      </c>
      <c r="D236" s="24">
        <v>1.3013448427221919</v>
      </c>
      <c r="E236" s="3" t="s">
        <v>434</v>
      </c>
      <c r="F236" s="3" t="s">
        <v>434</v>
      </c>
    </row>
    <row r="237">
      <c r="A237" s="2">
        <v>19</v>
      </c>
      <c r="B237" s="12" t="s">
        <v>58</v>
      </c>
      <c r="C237" s="12" t="s">
        <v>623</v>
      </c>
      <c r="D237" s="24">
        <v>5.212954460834371</v>
      </c>
      <c r="E237" s="3" t="s">
        <v>425</v>
      </c>
      <c r="F237" s="3" t="s">
        <v>425</v>
      </c>
    </row>
    <row r="238">
      <c r="A238" s="2">
        <v>19</v>
      </c>
      <c r="B238" s="12" t="s">
        <v>58</v>
      </c>
      <c r="C238" s="12" t="s">
        <v>624</v>
      </c>
      <c r="D238" s="24">
        <v>5.212954460834371</v>
      </c>
      <c r="E238" s="3" t="s">
        <v>425</v>
      </c>
      <c r="F238" s="3" t="s">
        <v>425</v>
      </c>
    </row>
    <row r="239">
      <c r="A239" s="2">
        <v>19</v>
      </c>
      <c r="B239" s="12" t="s">
        <v>58</v>
      </c>
      <c r="C239" s="12" t="s">
        <v>594</v>
      </c>
      <c r="D239" s="24">
        <v>4.59468739981442</v>
      </c>
      <c r="E239" s="3" t="s">
        <v>425</v>
      </c>
      <c r="F239" s="3" t="s">
        <v>425</v>
      </c>
    </row>
    <row r="240">
      <c r="A240" s="2">
        <v>19</v>
      </c>
      <c r="B240" s="12" t="s">
        <v>58</v>
      </c>
      <c r="C240" s="12" t="s">
        <v>482</v>
      </c>
      <c r="D240" s="24">
        <v>4.164303496711014</v>
      </c>
      <c r="E240" s="3" t="s">
        <v>425</v>
      </c>
      <c r="F240" s="3" t="s">
        <v>425</v>
      </c>
    </row>
    <row r="241">
      <c r="A241" s="2">
        <v>19</v>
      </c>
      <c r="B241" s="12" t="s">
        <v>58</v>
      </c>
      <c r="C241" s="12" t="s">
        <v>625</v>
      </c>
      <c r="D241" s="24">
        <v>2.260799738816487</v>
      </c>
      <c r="E241" s="3" t="s">
        <v>425</v>
      </c>
      <c r="F241" s="3" t="s">
        <v>425</v>
      </c>
    </row>
    <row r="242">
      <c r="A242" s="2">
        <v>19</v>
      </c>
      <c r="B242" s="12" t="s">
        <v>58</v>
      </c>
      <c r="C242" s="12" t="s">
        <v>626</v>
      </c>
      <c r="D242" s="24">
        <v>1.9659128163621629</v>
      </c>
      <c r="E242" s="3" t="s">
        <v>425</v>
      </c>
      <c r="F242" s="3" t="s">
        <v>425</v>
      </c>
    </row>
    <row r="243">
      <c r="A243" s="2">
        <v>19</v>
      </c>
      <c r="B243" s="12" t="s">
        <v>58</v>
      </c>
      <c r="C243" s="12" t="s">
        <v>627</v>
      </c>
      <c r="D243" s="24">
        <v>1.9659128163621629</v>
      </c>
      <c r="E243" s="3" t="s">
        <v>434</v>
      </c>
      <c r="F243" s="3" t="s">
        <v>425</v>
      </c>
    </row>
    <row r="244">
      <c r="A244" s="2">
        <v>19</v>
      </c>
      <c r="B244" s="12" t="s">
        <v>58</v>
      </c>
      <c r="C244" s="12" t="s">
        <v>628</v>
      </c>
      <c r="D244" s="24">
        <v>1.9659128163621629</v>
      </c>
      <c r="E244" s="3" t="s">
        <v>434</v>
      </c>
      <c r="F244" s="3" t="s">
        <v>425</v>
      </c>
    </row>
    <row r="245">
      <c r="A245" s="2">
        <v>19</v>
      </c>
      <c r="B245" s="12" t="s">
        <v>58</v>
      </c>
      <c r="C245" s="12" t="s">
        <v>629</v>
      </c>
      <c r="D245" s="24">
        <v>1.9659128163621629</v>
      </c>
      <c r="E245" s="3" t="s">
        <v>434</v>
      </c>
      <c r="F245" s="3" t="s">
        <v>425</v>
      </c>
    </row>
    <row r="246">
      <c r="A246" s="2">
        <v>19</v>
      </c>
      <c r="B246" s="12" t="s">
        <v>58</v>
      </c>
      <c r="C246" s="12" t="s">
        <v>630</v>
      </c>
      <c r="D246" s="24">
        <v>1.9659128163621629</v>
      </c>
      <c r="E246" s="3" t="s">
        <v>434</v>
      </c>
      <c r="F246" s="3" t="s">
        <v>425</v>
      </c>
    </row>
    <row r="247">
      <c r="A247" s="2">
        <v>19</v>
      </c>
      <c r="B247" s="12" t="s">
        <v>58</v>
      </c>
      <c r="C247" s="12" t="s">
        <v>631</v>
      </c>
      <c r="D247" s="24">
        <v>1.629048269010741</v>
      </c>
      <c r="E247" s="3" t="s">
        <v>434</v>
      </c>
      <c r="F247" s="3" t="s">
        <v>425</v>
      </c>
    </row>
    <row r="248">
      <c r="A248" s="2">
        <v>19</v>
      </c>
      <c r="B248" s="12" t="s">
        <v>58</v>
      </c>
      <c r="C248" s="12" t="s">
        <v>632</v>
      </c>
      <c r="D248" s="24">
        <v>1.629048269010741</v>
      </c>
      <c r="E248" s="3" t="s">
        <v>434</v>
      </c>
      <c r="F248" s="3" t="s">
        <v>425</v>
      </c>
    </row>
    <row r="249">
      <c r="A249" s="2">
        <v>19</v>
      </c>
      <c r="B249" s="12" t="s">
        <v>58</v>
      </c>
      <c r="C249" s="12" t="s">
        <v>633</v>
      </c>
      <c r="D249" s="24">
        <v>1.629048269010741</v>
      </c>
      <c r="E249" s="3" t="s">
        <v>434</v>
      </c>
      <c r="F249" s="3" t="s">
        <v>425</v>
      </c>
    </row>
    <row r="250">
      <c r="A250" s="2">
        <v>20</v>
      </c>
      <c r="B250" s="12" t="s">
        <v>56</v>
      </c>
      <c r="C250" s="12" t="s">
        <v>634</v>
      </c>
      <c r="D250" s="24">
        <v>5.212954460834371</v>
      </c>
      <c r="E250" s="3" t="s">
        <v>425</v>
      </c>
      <c r="F250" s="3" t="s">
        <v>425</v>
      </c>
    </row>
    <row r="251">
      <c r="A251" s="2">
        <v>20</v>
      </c>
      <c r="B251" s="12" t="s">
        <v>56</v>
      </c>
      <c r="C251" s="12" t="s">
        <v>635</v>
      </c>
      <c r="D251" s="24">
        <v>4.865367395567829</v>
      </c>
      <c r="E251" s="3" t="s">
        <v>425</v>
      </c>
      <c r="F251" s="3" t="s">
        <v>425</v>
      </c>
    </row>
    <row r="252">
      <c r="A252" s="2">
        <v>20</v>
      </c>
      <c r="B252" s="12" t="s">
        <v>56</v>
      </c>
      <c r="C252" s="12" t="s">
        <v>636</v>
      </c>
      <c r="D252" s="24">
        <v>1.9659128163621629</v>
      </c>
      <c r="E252" s="3" t="s">
        <v>425</v>
      </c>
      <c r="F252" s="3" t="s">
        <v>425</v>
      </c>
    </row>
    <row r="253">
      <c r="A253" s="2">
        <v>20</v>
      </c>
      <c r="B253" s="12" t="s">
        <v>56</v>
      </c>
      <c r="C253" s="12" t="s">
        <v>637</v>
      </c>
      <c r="D253" s="24">
        <v>1.9659128163621629</v>
      </c>
      <c r="E253" s="3" t="s">
        <v>425</v>
      </c>
      <c r="F253" s="3" t="s">
        <v>425</v>
      </c>
    </row>
    <row r="254">
      <c r="A254" s="2">
        <v>20</v>
      </c>
      <c r="B254" s="12" t="s">
        <v>56</v>
      </c>
      <c r="C254" s="12" t="s">
        <v>638</v>
      </c>
      <c r="D254" s="24">
        <v>1.873405509362352</v>
      </c>
      <c r="E254" s="3" t="s">
        <v>425</v>
      </c>
      <c r="F254" s="3" t="s">
        <v>425</v>
      </c>
    </row>
    <row r="255">
      <c r="A255" s="2">
        <v>20</v>
      </c>
      <c r="B255" s="12" t="s">
        <v>56</v>
      </c>
      <c r="C255" s="12" t="s">
        <v>639</v>
      </c>
      <c r="D255" s="24">
        <v>1.629048269010741</v>
      </c>
      <c r="E255" s="3" t="s">
        <v>425</v>
      </c>
      <c r="F255" s="3" t="s">
        <v>425</v>
      </c>
    </row>
    <row r="256">
      <c r="A256" s="2">
        <v>20</v>
      </c>
      <c r="B256" s="12" t="s">
        <v>56</v>
      </c>
      <c r="C256" s="12" t="s">
        <v>640</v>
      </c>
      <c r="D256" s="24">
        <v>1.629048269010741</v>
      </c>
      <c r="E256" s="3" t="s">
        <v>434</v>
      </c>
      <c r="F256" s="3" t="s">
        <v>425</v>
      </c>
    </row>
    <row r="257">
      <c r="A257" s="2">
        <v>20</v>
      </c>
      <c r="B257" s="12" t="s">
        <v>56</v>
      </c>
      <c r="C257" s="12" t="s">
        <v>641</v>
      </c>
      <c r="D257" s="24">
        <v>1.629048269010741</v>
      </c>
      <c r="E257" s="3" t="s">
        <v>434</v>
      </c>
      <c r="F257" s="3" t="s">
        <v>425</v>
      </c>
    </row>
    <row r="258">
      <c r="A258" s="2">
        <v>20</v>
      </c>
      <c r="B258" s="12" t="s">
        <v>56</v>
      </c>
      <c r="C258" s="12" t="s">
        <v>642</v>
      </c>
      <c r="D258" s="24">
        <v>1.4358398124420062</v>
      </c>
      <c r="E258" s="3" t="s">
        <v>434</v>
      </c>
      <c r="F258" s="3" t="s">
        <v>425</v>
      </c>
    </row>
    <row r="259">
      <c r="A259" s="2">
        <v>20</v>
      </c>
      <c r="B259" s="12" t="s">
        <v>56</v>
      </c>
      <c r="C259" s="12" t="s">
        <v>643</v>
      </c>
      <c r="D259" s="24">
        <v>1.4358398124420062</v>
      </c>
      <c r="E259" s="3" t="s">
        <v>434</v>
      </c>
      <c r="F259" s="3" t="s">
        <v>425</v>
      </c>
    </row>
    <row r="260">
      <c r="A260" s="2">
        <v>20</v>
      </c>
      <c r="B260" s="12" t="s">
        <v>56</v>
      </c>
      <c r="C260" s="12" t="s">
        <v>644</v>
      </c>
      <c r="D260" s="24">
        <v>1.4358398124420062</v>
      </c>
      <c r="E260" s="3" t="s">
        <v>434</v>
      </c>
      <c r="F260" s="3" t="s">
        <v>425</v>
      </c>
    </row>
    <row r="261">
      <c r="A261" s="2">
        <v>20</v>
      </c>
      <c r="B261" s="12" t="s">
        <v>56</v>
      </c>
      <c r="C261" s="12" t="s">
        <v>645</v>
      </c>
      <c r="D261" s="24">
        <v>1.4358398124420062</v>
      </c>
      <c r="E261" s="3" t="s">
        <v>434</v>
      </c>
      <c r="F261" s="3" t="s">
        <v>425</v>
      </c>
    </row>
    <row r="262">
      <c r="A262" s="2">
        <v>20</v>
      </c>
      <c r="B262" s="12" t="s">
        <v>56</v>
      </c>
      <c r="C262" s="12" t="s">
        <v>646</v>
      </c>
      <c r="D262" s="24">
        <v>1.3013448427221919</v>
      </c>
      <c r="E262" s="3" t="s">
        <v>434</v>
      </c>
      <c r="F262" s="3" t="s">
        <v>425</v>
      </c>
    </row>
    <row r="263">
      <c r="A263" s="2">
        <v>21</v>
      </c>
      <c r="B263" s="12" t="s">
        <v>56</v>
      </c>
      <c r="C263" s="12" t="s">
        <v>647</v>
      </c>
      <c r="D263" s="24">
        <v>4.7889490212176655</v>
      </c>
      <c r="E263" s="3" t="s">
        <v>425</v>
      </c>
      <c r="F263" s="3" t="s">
        <v>425</v>
      </c>
    </row>
    <row r="264">
      <c r="A264" s="2">
        <v>21</v>
      </c>
      <c r="B264" s="12" t="s">
        <v>56</v>
      </c>
      <c r="C264" s="12" t="s">
        <v>648</v>
      </c>
      <c r="D264" s="24">
        <v>3.836632436477393</v>
      </c>
      <c r="E264" s="3" t="s">
        <v>425</v>
      </c>
      <c r="F264" s="3" t="s">
        <v>425</v>
      </c>
    </row>
    <row r="265">
      <c r="A265" s="2">
        <v>21</v>
      </c>
      <c r="B265" s="12" t="s">
        <v>56</v>
      </c>
      <c r="C265" s="12" t="s">
        <v>649</v>
      </c>
      <c r="D265" s="24">
        <v>1.9659128163621629</v>
      </c>
      <c r="E265" s="3" t="s">
        <v>425</v>
      </c>
      <c r="F265" s="3" t="s">
        <v>425</v>
      </c>
    </row>
    <row r="266">
      <c r="A266" s="2">
        <v>21</v>
      </c>
      <c r="B266" s="12" t="s">
        <v>56</v>
      </c>
      <c r="C266" s="12" t="s">
        <v>650</v>
      </c>
      <c r="D266" s="24">
        <v>1.9659128163621629</v>
      </c>
      <c r="E266" s="3" t="s">
        <v>425</v>
      </c>
      <c r="F266" s="3" t="s">
        <v>425</v>
      </c>
    </row>
    <row r="267">
      <c r="A267" s="2">
        <v>21</v>
      </c>
      <c r="B267" s="12" t="s">
        <v>56</v>
      </c>
      <c r="C267" s="12" t="s">
        <v>651</v>
      </c>
      <c r="D267" s="24">
        <v>1.629048269010741</v>
      </c>
      <c r="E267" s="3" t="s">
        <v>434</v>
      </c>
      <c r="F267" s="3" t="s">
        <v>425</v>
      </c>
    </row>
    <row r="268">
      <c r="A268" s="2">
        <v>21</v>
      </c>
      <c r="B268" s="12" t="s">
        <v>56</v>
      </c>
      <c r="C268" s="12" t="s">
        <v>467</v>
      </c>
      <c r="D268" s="24">
        <v>1.4358398124420062</v>
      </c>
      <c r="E268" s="3" t="s">
        <v>434</v>
      </c>
      <c r="F268" s="3" t="s">
        <v>425</v>
      </c>
    </row>
    <row r="269">
      <c r="A269" s="2">
        <v>21</v>
      </c>
      <c r="B269" s="12" t="s">
        <v>56</v>
      </c>
      <c r="C269" s="12" t="s">
        <v>470</v>
      </c>
      <c r="D269" s="24">
        <v>1.4358398124420062</v>
      </c>
      <c r="E269" s="3" t="s">
        <v>434</v>
      </c>
      <c r="F269" s="3" t="s">
        <v>425</v>
      </c>
    </row>
    <row r="270">
      <c r="A270" s="2">
        <v>21</v>
      </c>
      <c r="B270" s="12" t="s">
        <v>56</v>
      </c>
      <c r="C270" s="12" t="s">
        <v>614</v>
      </c>
      <c r="D270" s="24">
        <v>1.4358398124420062</v>
      </c>
      <c r="E270" s="3" t="s">
        <v>434</v>
      </c>
      <c r="F270" s="3" t="s">
        <v>425</v>
      </c>
    </row>
    <row r="271">
      <c r="A271" s="2">
        <v>21</v>
      </c>
      <c r="B271" s="12" t="s">
        <v>56</v>
      </c>
      <c r="C271" s="12" t="s">
        <v>511</v>
      </c>
      <c r="D271" s="24">
        <v>1.3013448427221919</v>
      </c>
      <c r="E271" s="3" t="s">
        <v>434</v>
      </c>
      <c r="F271" s="3" t="s">
        <v>425</v>
      </c>
    </row>
    <row r="272">
      <c r="A272" s="2">
        <v>21</v>
      </c>
      <c r="B272" s="12" t="s">
        <v>56</v>
      </c>
      <c r="C272" s="12" t="s">
        <v>652</v>
      </c>
      <c r="D272" s="24">
        <v>1.3013448427221919</v>
      </c>
      <c r="E272" s="3" t="s">
        <v>434</v>
      </c>
      <c r="F272" s="3" t="s">
        <v>425</v>
      </c>
    </row>
    <row r="273">
      <c r="A273" s="2">
        <v>22</v>
      </c>
      <c r="B273" s="12" t="s">
        <v>71</v>
      </c>
      <c r="C273" s="12" t="s">
        <v>653</v>
      </c>
      <c r="D273" s="24">
        <v>6.290921012358922</v>
      </c>
      <c r="E273" s="3" t="s">
        <v>425</v>
      </c>
      <c r="F273" s="3" t="s">
        <v>425</v>
      </c>
    </row>
    <row r="274">
      <c r="A274" s="2">
        <v>22</v>
      </c>
      <c r="B274" s="12" t="s">
        <v>71</v>
      </c>
      <c r="C274" s="12" t="s">
        <v>654</v>
      </c>
      <c r="D274" s="24">
        <v>6.290921012358922</v>
      </c>
      <c r="E274" s="3" t="s">
        <v>425</v>
      </c>
      <c r="F274" s="3" t="s">
        <v>425</v>
      </c>
    </row>
    <row r="275">
      <c r="A275" s="2">
        <v>22</v>
      </c>
      <c r="B275" s="12" t="s">
        <v>71</v>
      </c>
      <c r="C275" s="12" t="s">
        <v>655</v>
      </c>
      <c r="D275" s="24">
        <v>4.164303496711014</v>
      </c>
      <c r="E275" s="3" t="s">
        <v>425</v>
      </c>
      <c r="F275" s="3" t="s">
        <v>425</v>
      </c>
    </row>
    <row r="276">
      <c r="A276" s="2">
        <v>22</v>
      </c>
      <c r="B276" s="12" t="s">
        <v>71</v>
      </c>
      <c r="C276" s="12" t="s">
        <v>656</v>
      </c>
      <c r="D276" s="24">
        <v>1.9659128163621629</v>
      </c>
      <c r="E276" s="3" t="s">
        <v>425</v>
      </c>
      <c r="F276" s="3" t="s">
        <v>425</v>
      </c>
    </row>
    <row r="277">
      <c r="A277" s="2">
        <v>22</v>
      </c>
      <c r="B277" s="12" t="s">
        <v>71</v>
      </c>
      <c r="C277" s="12" t="s">
        <v>657</v>
      </c>
      <c r="D277" s="24">
        <v>1.629048269010741</v>
      </c>
      <c r="E277" s="3" t="s">
        <v>425</v>
      </c>
      <c r="F277" s="3" t="s">
        <v>425</v>
      </c>
    </row>
    <row r="278">
      <c r="A278" s="2">
        <v>22</v>
      </c>
      <c r="B278" s="12" t="s">
        <v>71</v>
      </c>
      <c r="C278" s="12" t="s">
        <v>597</v>
      </c>
      <c r="D278" s="24">
        <v>1.629048269010741</v>
      </c>
      <c r="E278" s="3" t="s">
        <v>425</v>
      </c>
      <c r="F278" s="3" t="s">
        <v>425</v>
      </c>
    </row>
    <row r="279">
      <c r="A279" s="2">
        <v>22</v>
      </c>
      <c r="B279" s="12" t="s">
        <v>71</v>
      </c>
      <c r="C279" s="12" t="s">
        <v>613</v>
      </c>
      <c r="D279" s="24">
        <v>1.629048269010741</v>
      </c>
      <c r="E279" s="3" t="s">
        <v>434</v>
      </c>
      <c r="F279" s="3" t="s">
        <v>425</v>
      </c>
    </row>
    <row r="280">
      <c r="A280" s="2">
        <v>22</v>
      </c>
      <c r="B280" s="12" t="s">
        <v>71</v>
      </c>
      <c r="C280" s="12" t="s">
        <v>658</v>
      </c>
      <c r="D280" s="24">
        <v>1.629048269010741</v>
      </c>
      <c r="E280" s="3" t="s">
        <v>434</v>
      </c>
      <c r="F280" s="3" t="s">
        <v>425</v>
      </c>
    </row>
    <row r="281">
      <c r="A281" s="2">
        <v>22</v>
      </c>
      <c r="B281" s="12" t="s">
        <v>71</v>
      </c>
      <c r="C281" s="12" t="s">
        <v>469</v>
      </c>
      <c r="D281" s="24">
        <v>1.4358398124420062</v>
      </c>
      <c r="E281" s="3" t="s">
        <v>434</v>
      </c>
      <c r="F281" s="3" t="s">
        <v>425</v>
      </c>
    </row>
    <row r="282">
      <c r="A282" s="2">
        <v>22</v>
      </c>
      <c r="B282" s="12" t="s">
        <v>71</v>
      </c>
      <c r="C282" s="12" t="s">
        <v>659</v>
      </c>
      <c r="D282" s="24">
        <v>1.4358398124420062</v>
      </c>
      <c r="E282" s="3" t="s">
        <v>434</v>
      </c>
      <c r="F282" s="3" t="s">
        <v>425</v>
      </c>
    </row>
    <row r="283">
      <c r="A283" s="2">
        <v>22</v>
      </c>
      <c r="B283" s="12" t="s">
        <v>71</v>
      </c>
      <c r="C283" s="12" t="s">
        <v>660</v>
      </c>
      <c r="D283" s="24">
        <v>1.4358398124420062</v>
      </c>
      <c r="E283" s="3" t="s">
        <v>434</v>
      </c>
      <c r="F283" s="3" t="s">
        <v>425</v>
      </c>
    </row>
    <row r="284">
      <c r="A284" s="2">
        <v>22</v>
      </c>
      <c r="B284" s="12" t="s">
        <v>71</v>
      </c>
      <c r="C284" s="12" t="s">
        <v>661</v>
      </c>
      <c r="D284" s="24">
        <v>1.4358398124420062</v>
      </c>
      <c r="E284" s="3" t="s">
        <v>434</v>
      </c>
      <c r="F284" s="3" t="s">
        <v>425</v>
      </c>
    </row>
    <row r="285">
      <c r="A285" s="2">
        <v>22</v>
      </c>
      <c r="B285" s="12" t="s">
        <v>71</v>
      </c>
      <c r="C285" s="12" t="s">
        <v>662</v>
      </c>
      <c r="D285" s="24">
        <v>1.1989476363991853</v>
      </c>
      <c r="E285" s="3" t="s">
        <v>434</v>
      </c>
      <c r="F285" s="3" t="s">
        <v>425</v>
      </c>
    </row>
    <row r="286">
      <c r="A286" s="2">
        <v>22</v>
      </c>
      <c r="B286" s="12" t="s">
        <v>71</v>
      </c>
      <c r="C286" s="12" t="s">
        <v>537</v>
      </c>
      <c r="D286" s="24">
        <v>1.1989476363991853</v>
      </c>
      <c r="E286" s="3" t="s">
        <v>434</v>
      </c>
      <c r="F286" s="3" t="s">
        <v>425</v>
      </c>
    </row>
    <row r="287">
      <c r="A287" s="2">
        <v>23</v>
      </c>
      <c r="B287" s="12" t="s">
        <v>51</v>
      </c>
      <c r="C287" s="12" t="s">
        <v>663</v>
      </c>
      <c r="D287" s="24">
        <v>6.290921012358922</v>
      </c>
      <c r="E287" s="3" t="s">
        <v>425</v>
      </c>
      <c r="F287" s="3" t="s">
        <v>434</v>
      </c>
    </row>
    <row r="288">
      <c r="A288" s="2">
        <v>23</v>
      </c>
      <c r="B288" s="12" t="s">
        <v>51</v>
      </c>
      <c r="C288" s="12" t="s">
        <v>664</v>
      </c>
      <c r="D288" s="24">
        <v>6.290921012358922</v>
      </c>
      <c r="E288" s="3" t="s">
        <v>425</v>
      </c>
      <c r="F288" s="3" t="s">
        <v>434</v>
      </c>
    </row>
    <row r="289">
      <c r="A289" s="2">
        <v>23</v>
      </c>
      <c r="B289" s="12" t="s">
        <v>51</v>
      </c>
      <c r="C289" s="12" t="s">
        <v>665</v>
      </c>
      <c r="D289" s="24">
        <v>5.212954460834371</v>
      </c>
      <c r="E289" s="3" t="s">
        <v>425</v>
      </c>
      <c r="F289" s="3" t="s">
        <v>434</v>
      </c>
    </row>
    <row r="290">
      <c r="A290" s="2">
        <v>23</v>
      </c>
      <c r="B290" s="12" t="s">
        <v>51</v>
      </c>
      <c r="C290" s="12" t="s">
        <v>655</v>
      </c>
      <c r="D290" s="24">
        <v>4.7889490212176655</v>
      </c>
      <c r="E290" s="3" t="s">
        <v>425</v>
      </c>
      <c r="F290" s="3" t="s">
        <v>434</v>
      </c>
    </row>
    <row r="291">
      <c r="A291" s="2">
        <v>23</v>
      </c>
      <c r="B291" s="12" t="s">
        <v>51</v>
      </c>
      <c r="C291" s="12" t="s">
        <v>71</v>
      </c>
      <c r="D291" s="24">
        <v>3.836632436477393</v>
      </c>
      <c r="E291" s="3" t="s">
        <v>425</v>
      </c>
      <c r="F291" s="3" t="s">
        <v>434</v>
      </c>
    </row>
    <row r="292">
      <c r="A292" s="2">
        <v>23</v>
      </c>
      <c r="B292" s="12" t="s">
        <v>51</v>
      </c>
      <c r="C292" s="12" t="s">
        <v>666</v>
      </c>
      <c r="D292" s="24">
        <v>1.9659128163621629</v>
      </c>
      <c r="E292" s="3" t="s">
        <v>425</v>
      </c>
      <c r="F292" s="3" t="s">
        <v>434</v>
      </c>
    </row>
    <row r="293">
      <c r="A293" s="2">
        <v>23</v>
      </c>
      <c r="B293" s="12" t="s">
        <v>51</v>
      </c>
      <c r="C293" s="12" t="s">
        <v>661</v>
      </c>
      <c r="D293" s="24">
        <v>1.651215784308307</v>
      </c>
      <c r="E293" s="3" t="s">
        <v>434</v>
      </c>
      <c r="F293" s="3" t="s">
        <v>434</v>
      </c>
    </row>
    <row r="294">
      <c r="A294" s="2">
        <v>23</v>
      </c>
      <c r="B294" s="12" t="s">
        <v>51</v>
      </c>
      <c r="C294" s="12" t="s">
        <v>667</v>
      </c>
      <c r="D294" s="24">
        <v>1.629048269010741</v>
      </c>
      <c r="E294" s="3" t="s">
        <v>434</v>
      </c>
      <c r="F294" s="3" t="s">
        <v>434</v>
      </c>
    </row>
    <row r="295">
      <c r="A295" s="2">
        <v>23</v>
      </c>
      <c r="B295" s="12" t="s">
        <v>51</v>
      </c>
      <c r="C295" s="12" t="s">
        <v>586</v>
      </c>
      <c r="D295" s="24">
        <v>1.629048269010741</v>
      </c>
      <c r="E295" s="3" t="s">
        <v>434</v>
      </c>
      <c r="F295" s="3" t="s">
        <v>434</v>
      </c>
    </row>
    <row r="296">
      <c r="A296" s="2">
        <v>23</v>
      </c>
      <c r="B296" s="12" t="s">
        <v>51</v>
      </c>
      <c r="C296" s="12" t="s">
        <v>441</v>
      </c>
      <c r="D296" s="24">
        <v>1.378789781859063</v>
      </c>
      <c r="E296" s="3" t="s">
        <v>434</v>
      </c>
      <c r="F296" s="3" t="s">
        <v>434</v>
      </c>
    </row>
    <row r="297">
      <c r="A297" s="2">
        <v>23</v>
      </c>
      <c r="B297" s="12" t="s">
        <v>51</v>
      </c>
      <c r="C297" s="12" t="s">
        <v>535</v>
      </c>
      <c r="D297" s="24">
        <v>1.3013448427221919</v>
      </c>
      <c r="E297" s="3" t="s">
        <v>434</v>
      </c>
      <c r="F297" s="3" t="s">
        <v>434</v>
      </c>
    </row>
    <row r="298">
      <c r="A298" s="2">
        <v>23</v>
      </c>
      <c r="B298" s="12" t="s">
        <v>51</v>
      </c>
      <c r="C298" s="12" t="s">
        <v>652</v>
      </c>
      <c r="D298" s="24">
        <v>1.3013448427221919</v>
      </c>
      <c r="E298" s="3" t="s">
        <v>434</v>
      </c>
      <c r="F298" s="3" t="s">
        <v>434</v>
      </c>
    </row>
    <row r="299">
      <c r="A299" s="2">
        <v>23</v>
      </c>
      <c r="B299" s="12" t="s">
        <v>51</v>
      </c>
      <c r="C299" s="12" t="s">
        <v>440</v>
      </c>
      <c r="D299" s="24">
        <v>1.1989476363991853</v>
      </c>
      <c r="E299" s="3" t="s">
        <v>434</v>
      </c>
      <c r="F299" s="3" t="s">
        <v>434</v>
      </c>
    </row>
    <row r="300">
      <c r="A300" s="2">
        <v>24</v>
      </c>
      <c r="B300" s="12" t="s">
        <v>59</v>
      </c>
      <c r="C300" s="12" t="s">
        <v>668</v>
      </c>
      <c r="D300" s="24">
        <v>6.290921012358922</v>
      </c>
      <c r="E300" s="3" t="s">
        <v>425</v>
      </c>
      <c r="F300" s="3" t="s">
        <v>425</v>
      </c>
    </row>
    <row r="301">
      <c r="A301" s="2">
        <v>24</v>
      </c>
      <c r="B301" s="12" t="s">
        <v>59</v>
      </c>
      <c r="C301" s="12" t="s">
        <v>669</v>
      </c>
      <c r="D301" s="24">
        <v>5.56311703289222</v>
      </c>
      <c r="E301" s="3" t="s">
        <v>425</v>
      </c>
      <c r="F301" s="3" t="s">
        <v>425</v>
      </c>
    </row>
    <row r="302">
      <c r="A302" s="2">
        <v>24</v>
      </c>
      <c r="B302" s="12" t="s">
        <v>59</v>
      </c>
      <c r="C302" s="12" t="s">
        <v>493</v>
      </c>
      <c r="D302" s="24">
        <v>3.355425790046779</v>
      </c>
      <c r="E302" s="3" t="s">
        <v>425</v>
      </c>
      <c r="F302" s="3" t="s">
        <v>425</v>
      </c>
    </row>
    <row r="303">
      <c r="A303" s="2">
        <v>24</v>
      </c>
      <c r="B303" s="12" t="s">
        <v>59</v>
      </c>
      <c r="C303" s="12" t="s">
        <v>635</v>
      </c>
      <c r="D303" s="24">
        <v>3.355425790046779</v>
      </c>
      <c r="E303" s="3" t="s">
        <v>425</v>
      </c>
      <c r="F303" s="3" t="s">
        <v>434</v>
      </c>
    </row>
    <row r="304">
      <c r="A304" s="2">
        <v>24</v>
      </c>
      <c r="B304" s="12" t="s">
        <v>59</v>
      </c>
      <c r="C304" s="12" t="s">
        <v>670</v>
      </c>
      <c r="D304" s="24">
        <v>1.9659128163621629</v>
      </c>
      <c r="E304" s="3" t="s">
        <v>425</v>
      </c>
      <c r="F304" s="3" t="s">
        <v>425</v>
      </c>
    </row>
    <row r="305">
      <c r="A305" s="2">
        <v>24</v>
      </c>
      <c r="B305" s="12" t="s">
        <v>59</v>
      </c>
      <c r="C305" s="12" t="s">
        <v>671</v>
      </c>
      <c r="D305" s="24">
        <v>1.9659128163621629</v>
      </c>
      <c r="E305" s="3" t="s">
        <v>425</v>
      </c>
      <c r="F305" s="3" t="s">
        <v>425</v>
      </c>
    </row>
    <row r="306">
      <c r="A306" s="2">
        <v>24</v>
      </c>
      <c r="B306" s="12" t="s">
        <v>59</v>
      </c>
      <c r="C306" s="12" t="s">
        <v>672</v>
      </c>
      <c r="D306" s="24">
        <v>1.9659128163621629</v>
      </c>
      <c r="E306" s="3" t="s">
        <v>425</v>
      </c>
      <c r="F306" s="3" t="s">
        <v>425</v>
      </c>
    </row>
    <row r="307">
      <c r="A307" s="2">
        <v>24</v>
      </c>
      <c r="B307" s="12" t="s">
        <v>59</v>
      </c>
      <c r="C307" s="12" t="s">
        <v>673</v>
      </c>
      <c r="D307" s="24">
        <v>1.9659128163621629</v>
      </c>
      <c r="E307" s="3" t="s">
        <v>425</v>
      </c>
      <c r="F307" s="3" t="s">
        <v>425</v>
      </c>
    </row>
    <row r="308">
      <c r="A308" s="2">
        <v>24</v>
      </c>
      <c r="B308" s="12" t="s">
        <v>59</v>
      </c>
      <c r="C308" s="12" t="s">
        <v>674</v>
      </c>
      <c r="D308" s="24">
        <v>1.9659128163621629</v>
      </c>
      <c r="E308" s="3" t="s">
        <v>434</v>
      </c>
      <c r="F308" s="3" t="s">
        <v>425</v>
      </c>
    </row>
    <row r="309">
      <c r="A309" s="2">
        <v>24</v>
      </c>
      <c r="B309" s="12" t="s">
        <v>59</v>
      </c>
      <c r="C309" s="12" t="s">
        <v>675</v>
      </c>
      <c r="D309" s="24">
        <v>1.9659128163621629</v>
      </c>
      <c r="E309" s="3" t="s">
        <v>434</v>
      </c>
      <c r="F309" s="3" t="s">
        <v>425</v>
      </c>
    </row>
    <row r="310">
      <c r="A310" s="2">
        <v>24</v>
      </c>
      <c r="B310" s="12" t="s">
        <v>59</v>
      </c>
      <c r="C310" s="12" t="s">
        <v>676</v>
      </c>
      <c r="D310" s="24">
        <v>1.9659128163621629</v>
      </c>
      <c r="E310" s="3" t="s">
        <v>434</v>
      </c>
      <c r="F310" s="3" t="s">
        <v>425</v>
      </c>
    </row>
    <row r="311">
      <c r="A311" s="2">
        <v>24</v>
      </c>
      <c r="B311" s="12" t="s">
        <v>59</v>
      </c>
      <c r="C311" s="12" t="s">
        <v>677</v>
      </c>
      <c r="D311" s="24">
        <v>1.9659128163621629</v>
      </c>
      <c r="E311" s="3" t="s">
        <v>434</v>
      </c>
      <c r="F311" s="3" t="s">
        <v>425</v>
      </c>
    </row>
    <row r="312">
      <c r="A312" s="2">
        <v>24</v>
      </c>
      <c r="B312" s="12" t="s">
        <v>59</v>
      </c>
      <c r="C312" s="12" t="s">
        <v>678</v>
      </c>
      <c r="D312" s="24">
        <v>1.9659128163621629</v>
      </c>
      <c r="E312" s="3" t="s">
        <v>434</v>
      </c>
      <c r="F312" s="3" t="s">
        <v>425</v>
      </c>
    </row>
    <row r="313">
      <c r="A313" s="2">
        <v>24</v>
      </c>
      <c r="B313" s="12" t="s">
        <v>59</v>
      </c>
      <c r="C313" s="12" t="s">
        <v>463</v>
      </c>
      <c r="D313" s="24">
        <v>1.629048269010741</v>
      </c>
      <c r="E313" s="3" t="s">
        <v>434</v>
      </c>
      <c r="F313" s="3" t="s">
        <v>425</v>
      </c>
    </row>
    <row r="314">
      <c r="A314" s="2">
        <v>24</v>
      </c>
      <c r="B314" s="12" t="s">
        <v>59</v>
      </c>
      <c r="C314" s="12" t="s">
        <v>533</v>
      </c>
      <c r="D314" s="24">
        <v>1.629048269010741</v>
      </c>
      <c r="E314" s="3" t="s">
        <v>434</v>
      </c>
      <c r="F314" s="3" t="s">
        <v>434</v>
      </c>
    </row>
    <row r="315">
      <c r="A315" s="2">
        <v>24</v>
      </c>
      <c r="B315" s="12" t="s">
        <v>59</v>
      </c>
      <c r="C315" s="12" t="s">
        <v>679</v>
      </c>
      <c r="D315" s="24">
        <v>1.629048269010741</v>
      </c>
      <c r="E315" s="3" t="s">
        <v>434</v>
      </c>
      <c r="F315" s="3" t="s">
        <v>425</v>
      </c>
    </row>
    <row r="316">
      <c r="A316" s="2">
        <v>24</v>
      </c>
      <c r="B316" s="12" t="s">
        <v>59</v>
      </c>
      <c r="C316" s="12" t="s">
        <v>680</v>
      </c>
      <c r="D316" s="24">
        <v>1.629048269010741</v>
      </c>
      <c r="E316" s="3" t="s">
        <v>434</v>
      </c>
      <c r="F316" s="3" t="s">
        <v>425</v>
      </c>
    </row>
    <row r="317">
      <c r="A317" s="2">
        <v>24</v>
      </c>
      <c r="B317" s="12" t="s">
        <v>59</v>
      </c>
      <c r="C317" s="12" t="s">
        <v>440</v>
      </c>
      <c r="D317" s="24">
        <v>1.1989476363991853</v>
      </c>
      <c r="E317" s="3" t="s">
        <v>434</v>
      </c>
      <c r="F317" s="3" t="s">
        <v>425</v>
      </c>
    </row>
    <row r="318">
      <c r="A318" s="2">
        <v>25</v>
      </c>
      <c r="B318" s="12" t="s">
        <v>54</v>
      </c>
      <c r="C318" s="12" t="s">
        <v>143</v>
      </c>
      <c r="D318" s="24">
        <v>5.283890509786583</v>
      </c>
      <c r="E318" s="3" t="s">
        <v>425</v>
      </c>
      <c r="F318" s="3" t="s">
        <v>425</v>
      </c>
    </row>
    <row r="319">
      <c r="A319" s="2">
        <v>25</v>
      </c>
      <c r="B319" s="12" t="s">
        <v>54</v>
      </c>
      <c r="C319" s="12" t="s">
        <v>681</v>
      </c>
      <c r="D319" s="24">
        <v>4.164303496711014</v>
      </c>
      <c r="E319" s="3" t="s">
        <v>425</v>
      </c>
      <c r="F319" s="3" t="s">
        <v>425</v>
      </c>
    </row>
    <row r="320">
      <c r="A320" s="2">
        <v>25</v>
      </c>
      <c r="B320" s="12" t="s">
        <v>54</v>
      </c>
      <c r="C320" s="12" t="s">
        <v>655</v>
      </c>
      <c r="D320" s="24">
        <v>4.164303496711014</v>
      </c>
      <c r="E320" s="3" t="s">
        <v>425</v>
      </c>
      <c r="F320" s="3" t="s">
        <v>425</v>
      </c>
    </row>
    <row r="321">
      <c r="A321" s="2">
        <v>25</v>
      </c>
      <c r="B321" s="12" t="s">
        <v>54</v>
      </c>
      <c r="C321" s="12" t="s">
        <v>71</v>
      </c>
      <c r="D321" s="24">
        <v>3.836632436477393</v>
      </c>
      <c r="E321" s="3" t="s">
        <v>425</v>
      </c>
      <c r="F321" s="3" t="s">
        <v>425</v>
      </c>
    </row>
    <row r="322">
      <c r="A322" s="2">
        <v>25</v>
      </c>
      <c r="B322" s="12" t="s">
        <v>54</v>
      </c>
      <c r="C322" s="12" t="s">
        <v>682</v>
      </c>
      <c r="D322" s="24">
        <v>1.9659128163621629</v>
      </c>
      <c r="E322" s="3" t="s">
        <v>425</v>
      </c>
      <c r="F322" s="3" t="s">
        <v>425</v>
      </c>
    </row>
    <row r="323">
      <c r="A323" s="2">
        <v>25</v>
      </c>
      <c r="B323" s="12" t="s">
        <v>54</v>
      </c>
      <c r="C323" s="12" t="s">
        <v>683</v>
      </c>
      <c r="D323" s="24">
        <v>1.9659128163621629</v>
      </c>
      <c r="E323" s="3" t="s">
        <v>425</v>
      </c>
      <c r="F323" s="3" t="s">
        <v>425</v>
      </c>
    </row>
    <row r="324">
      <c r="A324" s="2">
        <v>25</v>
      </c>
      <c r="B324" s="12" t="s">
        <v>54</v>
      </c>
      <c r="C324" s="12" t="s">
        <v>684</v>
      </c>
      <c r="D324" s="24">
        <v>1.9659128163621629</v>
      </c>
      <c r="E324" s="3" t="s">
        <v>434</v>
      </c>
      <c r="F324" s="3" t="s">
        <v>425</v>
      </c>
    </row>
    <row r="325">
      <c r="A325" s="2">
        <v>25</v>
      </c>
      <c r="B325" s="12" t="s">
        <v>54</v>
      </c>
      <c r="C325" s="12" t="s">
        <v>542</v>
      </c>
      <c r="D325" s="24">
        <v>1.629048269010741</v>
      </c>
      <c r="E325" s="3" t="s">
        <v>434</v>
      </c>
      <c r="F325" s="3" t="s">
        <v>425</v>
      </c>
    </row>
    <row r="326">
      <c r="A326" s="2">
        <v>25</v>
      </c>
      <c r="B326" s="12" t="s">
        <v>54</v>
      </c>
      <c r="C326" s="12" t="s">
        <v>685</v>
      </c>
      <c r="D326" s="24">
        <v>1.629048269010741</v>
      </c>
      <c r="E326" s="3" t="s">
        <v>434</v>
      </c>
      <c r="F326" s="3" t="s">
        <v>425</v>
      </c>
    </row>
    <row r="327">
      <c r="A327" s="2">
        <v>25</v>
      </c>
      <c r="B327" s="12" t="s">
        <v>54</v>
      </c>
      <c r="C327" s="12" t="s">
        <v>686</v>
      </c>
      <c r="D327" s="24">
        <v>1.629048269010741</v>
      </c>
      <c r="E327" s="3" t="s">
        <v>434</v>
      </c>
      <c r="F327" s="3" t="s">
        <v>425</v>
      </c>
    </row>
    <row r="328">
      <c r="A328" s="2">
        <v>25</v>
      </c>
      <c r="B328" s="12" t="s">
        <v>54</v>
      </c>
      <c r="C328" s="12" t="s">
        <v>545</v>
      </c>
      <c r="D328" s="24">
        <v>1.4358398124420062</v>
      </c>
      <c r="E328" s="3" t="s">
        <v>434</v>
      </c>
      <c r="F328" s="3" t="s">
        <v>425</v>
      </c>
    </row>
    <row r="329">
      <c r="A329" s="2">
        <v>25</v>
      </c>
      <c r="B329" s="12" t="s">
        <v>54</v>
      </c>
      <c r="C329" s="12" t="s">
        <v>660</v>
      </c>
      <c r="D329" s="24">
        <v>1.4358398124420062</v>
      </c>
      <c r="E329" s="3" t="s">
        <v>434</v>
      </c>
      <c r="F329" s="3" t="s">
        <v>425</v>
      </c>
    </row>
    <row r="330">
      <c r="A330" s="2">
        <v>25</v>
      </c>
      <c r="B330" s="12" t="s">
        <v>54</v>
      </c>
      <c r="C330" s="12" t="s">
        <v>687</v>
      </c>
      <c r="D330" s="24">
        <v>1.4358398124420062</v>
      </c>
      <c r="E330" s="3" t="s">
        <v>434</v>
      </c>
      <c r="F330" s="3" t="s">
        <v>425</v>
      </c>
    </row>
    <row r="331">
      <c r="A331" s="2">
        <v>25</v>
      </c>
      <c r="B331" s="12" t="s">
        <v>54</v>
      </c>
      <c r="C331" s="12" t="s">
        <v>519</v>
      </c>
      <c r="D331" s="24">
        <v>1.3013448427221919</v>
      </c>
      <c r="E331" s="3" t="s">
        <v>434</v>
      </c>
      <c r="F331" s="3" t="s">
        <v>425</v>
      </c>
    </row>
    <row r="332">
      <c r="A332" s="2">
        <v>25</v>
      </c>
      <c r="B332" s="12" t="s">
        <v>54</v>
      </c>
      <c r="C332" s="12" t="s">
        <v>688</v>
      </c>
      <c r="D332" s="24">
        <v>1.3013448427221919</v>
      </c>
      <c r="E332" s="3" t="s">
        <v>434</v>
      </c>
      <c r="F332" s="3" t="s">
        <v>425</v>
      </c>
    </row>
    <row r="333">
      <c r="A333" s="2">
        <v>26</v>
      </c>
      <c r="B333" s="12" t="s">
        <v>73</v>
      </c>
      <c r="C333" s="12" t="s">
        <v>689</v>
      </c>
      <c r="D333" s="24">
        <v>8.1781973160666</v>
      </c>
      <c r="E333" s="3" t="s">
        <v>425</v>
      </c>
      <c r="F333" s="3" t="s">
        <v>425</v>
      </c>
    </row>
    <row r="334">
      <c r="A334" s="2">
        <v>26</v>
      </c>
      <c r="B334" s="12" t="s">
        <v>73</v>
      </c>
      <c r="C334" s="12" t="s">
        <v>567</v>
      </c>
      <c r="D334" s="24">
        <v>5.212954460834371</v>
      </c>
      <c r="E334" s="3" t="s">
        <v>425</v>
      </c>
      <c r="F334" s="3" t="s">
        <v>425</v>
      </c>
    </row>
    <row r="335">
      <c r="A335" s="2">
        <v>26</v>
      </c>
      <c r="B335" s="12" t="s">
        <v>73</v>
      </c>
      <c r="C335" s="12" t="s">
        <v>690</v>
      </c>
      <c r="D335" s="24">
        <v>1.9659128163621629</v>
      </c>
      <c r="E335" s="3" t="s">
        <v>425</v>
      </c>
      <c r="F335" s="3" t="s">
        <v>425</v>
      </c>
    </row>
    <row r="336">
      <c r="A336" s="2">
        <v>26</v>
      </c>
      <c r="B336" s="12" t="s">
        <v>73</v>
      </c>
      <c r="C336" s="12" t="s">
        <v>691</v>
      </c>
      <c r="D336" s="24">
        <v>1.9659128163621629</v>
      </c>
      <c r="E336" s="3" t="s">
        <v>425</v>
      </c>
      <c r="F336" s="3" t="s">
        <v>425</v>
      </c>
    </row>
    <row r="337">
      <c r="A337" s="2">
        <v>26</v>
      </c>
      <c r="B337" s="12" t="s">
        <v>73</v>
      </c>
      <c r="C337" s="12" t="s">
        <v>692</v>
      </c>
      <c r="D337" s="24">
        <v>1.9659128163621629</v>
      </c>
      <c r="E337" s="3" t="s">
        <v>425</v>
      </c>
      <c r="F337" s="3" t="s">
        <v>425</v>
      </c>
    </row>
    <row r="338">
      <c r="A338" s="2">
        <v>26</v>
      </c>
      <c r="B338" s="12" t="s">
        <v>73</v>
      </c>
      <c r="C338" s="12" t="s">
        <v>693</v>
      </c>
      <c r="D338" s="24">
        <v>1.9659128163621629</v>
      </c>
      <c r="E338" s="3" t="s">
        <v>425</v>
      </c>
      <c r="F338" s="3" t="s">
        <v>425</v>
      </c>
    </row>
    <row r="339">
      <c r="A339" s="2">
        <v>26</v>
      </c>
      <c r="B339" s="12" t="s">
        <v>73</v>
      </c>
      <c r="C339" s="12" t="s">
        <v>694</v>
      </c>
      <c r="D339" s="24">
        <v>1.9659128163621629</v>
      </c>
      <c r="E339" s="3" t="s">
        <v>425</v>
      </c>
      <c r="F339" s="3" t="s">
        <v>425</v>
      </c>
    </row>
    <row r="340">
      <c r="A340" s="2">
        <v>26</v>
      </c>
      <c r="B340" s="12" t="s">
        <v>73</v>
      </c>
      <c r="C340" s="12" t="s">
        <v>695</v>
      </c>
      <c r="D340" s="24">
        <v>1.9659128163621629</v>
      </c>
      <c r="E340" s="3" t="s">
        <v>434</v>
      </c>
      <c r="F340" s="3" t="s">
        <v>425</v>
      </c>
    </row>
    <row r="341">
      <c r="A341" s="2">
        <v>26</v>
      </c>
      <c r="B341" s="12" t="s">
        <v>73</v>
      </c>
      <c r="C341" s="12" t="s">
        <v>696</v>
      </c>
      <c r="D341" s="24">
        <v>1.9659128163621629</v>
      </c>
      <c r="E341" s="3" t="s">
        <v>434</v>
      </c>
      <c r="F341" s="3" t="s">
        <v>425</v>
      </c>
    </row>
    <row r="342">
      <c r="A342" s="2">
        <v>26</v>
      </c>
      <c r="B342" s="12" t="s">
        <v>73</v>
      </c>
      <c r="C342" s="12" t="s">
        <v>697</v>
      </c>
      <c r="D342" s="24">
        <v>1.9659128163621629</v>
      </c>
      <c r="E342" s="3" t="s">
        <v>434</v>
      </c>
      <c r="F342" s="3" t="s">
        <v>425</v>
      </c>
    </row>
    <row r="343">
      <c r="A343" s="2">
        <v>26</v>
      </c>
      <c r="B343" s="12" t="s">
        <v>73</v>
      </c>
      <c r="C343" s="12" t="s">
        <v>698</v>
      </c>
      <c r="D343" s="24">
        <v>1.9659128163621629</v>
      </c>
      <c r="E343" s="3" t="s">
        <v>434</v>
      </c>
      <c r="F343" s="3" t="s">
        <v>425</v>
      </c>
    </row>
    <row r="344">
      <c r="A344" s="2">
        <v>26</v>
      </c>
      <c r="B344" s="12" t="s">
        <v>73</v>
      </c>
      <c r="C344" s="12" t="s">
        <v>587</v>
      </c>
      <c r="D344" s="24">
        <v>1.629048269010741</v>
      </c>
      <c r="E344" s="3" t="s">
        <v>434</v>
      </c>
      <c r="F344" s="3" t="s">
        <v>425</v>
      </c>
    </row>
    <row r="345">
      <c r="A345" s="2">
        <v>26</v>
      </c>
      <c r="B345" s="12" t="s">
        <v>73</v>
      </c>
      <c r="C345" s="12" t="s">
        <v>591</v>
      </c>
      <c r="D345" s="24">
        <v>1.629048269010741</v>
      </c>
      <c r="E345" s="3" t="s">
        <v>434</v>
      </c>
      <c r="F345" s="3" t="s">
        <v>425</v>
      </c>
    </row>
    <row r="346">
      <c r="A346" s="2">
        <v>26</v>
      </c>
      <c r="B346" s="12" t="s">
        <v>73</v>
      </c>
      <c r="C346" s="12" t="s">
        <v>699</v>
      </c>
      <c r="D346" s="24">
        <v>1.629048269010741</v>
      </c>
      <c r="E346" s="3" t="s">
        <v>434</v>
      </c>
      <c r="F346" s="3" t="s">
        <v>425</v>
      </c>
    </row>
    <row r="347">
      <c r="A347" s="2">
        <v>26</v>
      </c>
      <c r="B347" s="12" t="s">
        <v>73</v>
      </c>
      <c r="C347" s="12" t="s">
        <v>700</v>
      </c>
      <c r="D347" s="24">
        <v>1.629048269010741</v>
      </c>
      <c r="E347" s="3" t="s">
        <v>434</v>
      </c>
      <c r="F347" s="3" t="s">
        <v>425</v>
      </c>
    </row>
    <row r="348">
      <c r="A348" s="2">
        <v>26</v>
      </c>
      <c r="B348" s="12" t="s">
        <v>73</v>
      </c>
      <c r="C348" s="12" t="s">
        <v>701</v>
      </c>
      <c r="D348" s="24">
        <v>1.3013448427221919</v>
      </c>
      <c r="E348" s="3" t="s">
        <v>434</v>
      </c>
      <c r="F348" s="3" t="s">
        <v>425</v>
      </c>
    </row>
    <row r="349">
      <c r="A349" s="2">
        <v>26</v>
      </c>
      <c r="B349" s="12" t="s">
        <v>73</v>
      </c>
      <c r="C349" s="12" t="s">
        <v>491</v>
      </c>
      <c r="D349" s="24">
        <v>1.1989476363991853</v>
      </c>
      <c r="E349" s="3" t="s">
        <v>434</v>
      </c>
      <c r="F349" s="3" t="s">
        <v>425</v>
      </c>
    </row>
    <row r="350">
      <c r="A350" s="2">
        <v>27</v>
      </c>
      <c r="B350" s="12" t="s">
        <v>58</v>
      </c>
      <c r="C350" s="12" t="s">
        <v>624</v>
      </c>
      <c r="D350" s="24">
        <v>7.5587839682098386</v>
      </c>
      <c r="E350" s="3" t="s">
        <v>425</v>
      </c>
      <c r="F350" s="3" t="s">
        <v>425</v>
      </c>
    </row>
    <row r="351">
      <c r="A351" s="2">
        <v>27</v>
      </c>
      <c r="B351" s="12" t="s">
        <v>58</v>
      </c>
      <c r="C351" s="12" t="s">
        <v>702</v>
      </c>
      <c r="D351" s="24">
        <v>6.290921012358922</v>
      </c>
      <c r="E351" s="3" t="s">
        <v>425</v>
      </c>
      <c r="F351" s="3" t="s">
        <v>434</v>
      </c>
    </row>
    <row r="352">
      <c r="A352" s="2">
        <v>27</v>
      </c>
      <c r="B352" s="12" t="s">
        <v>58</v>
      </c>
      <c r="C352" s="12" t="s">
        <v>447</v>
      </c>
      <c r="D352" s="24">
        <v>5.283890509786583</v>
      </c>
      <c r="E352" s="3" t="s">
        <v>425</v>
      </c>
      <c r="F352" s="3" t="s">
        <v>425</v>
      </c>
    </row>
    <row r="353">
      <c r="A353" s="2">
        <v>27</v>
      </c>
      <c r="B353" s="12" t="s">
        <v>58</v>
      </c>
      <c r="C353" s="12" t="s">
        <v>703</v>
      </c>
      <c r="D353" s="24">
        <v>5.212954460834371</v>
      </c>
      <c r="E353" s="3" t="s">
        <v>425</v>
      </c>
      <c r="F353" s="3" t="s">
        <v>425</v>
      </c>
    </row>
    <row r="354">
      <c r="A354" s="2">
        <v>27</v>
      </c>
      <c r="B354" s="12" t="s">
        <v>58</v>
      </c>
      <c r="C354" s="12" t="s">
        <v>623</v>
      </c>
      <c r="D354" s="24">
        <v>5.212954460834371</v>
      </c>
      <c r="E354" s="3" t="s">
        <v>425</v>
      </c>
      <c r="F354" s="3" t="s">
        <v>434</v>
      </c>
    </row>
    <row r="355">
      <c r="A355" s="2">
        <v>27</v>
      </c>
      <c r="B355" s="12" t="s">
        <v>58</v>
      </c>
      <c r="C355" s="12" t="s">
        <v>704</v>
      </c>
      <c r="D355" s="24">
        <v>4.164303496711014</v>
      </c>
      <c r="E355" s="3" t="s">
        <v>425</v>
      </c>
      <c r="F355" s="3" t="s">
        <v>425</v>
      </c>
    </row>
    <row r="356">
      <c r="A356" s="2">
        <v>27</v>
      </c>
      <c r="B356" s="12" t="s">
        <v>58</v>
      </c>
      <c r="C356" s="12" t="s">
        <v>482</v>
      </c>
      <c r="D356" s="24">
        <v>4.164303496711014</v>
      </c>
      <c r="E356" s="3" t="s">
        <v>425</v>
      </c>
      <c r="F356" s="3" t="s">
        <v>434</v>
      </c>
    </row>
    <row r="357">
      <c r="A357" s="2">
        <v>27</v>
      </c>
      <c r="B357" s="12" t="s">
        <v>58</v>
      </c>
      <c r="C357" s="12" t="s">
        <v>669</v>
      </c>
      <c r="D357" s="24">
        <v>3.836632436477393</v>
      </c>
      <c r="E357" s="3" t="s">
        <v>425</v>
      </c>
      <c r="F357" s="3" t="s">
        <v>434</v>
      </c>
    </row>
    <row r="358">
      <c r="A358" s="2">
        <v>27</v>
      </c>
      <c r="B358" s="12" t="s">
        <v>58</v>
      </c>
      <c r="C358" s="12" t="s">
        <v>705</v>
      </c>
      <c r="D358" s="24">
        <v>3.836632436477393</v>
      </c>
      <c r="E358" s="3" t="s">
        <v>434</v>
      </c>
      <c r="F358" s="3" t="s">
        <v>425</v>
      </c>
    </row>
    <row r="359">
      <c r="A359" s="2">
        <v>27</v>
      </c>
      <c r="B359" s="12" t="s">
        <v>58</v>
      </c>
      <c r="C359" s="12" t="s">
        <v>706</v>
      </c>
      <c r="D359" s="24">
        <v>3.836632436477393</v>
      </c>
      <c r="E359" s="3" t="s">
        <v>434</v>
      </c>
      <c r="F359" s="3" t="s">
        <v>425</v>
      </c>
    </row>
    <row r="360">
      <c r="A360" s="2">
        <v>27</v>
      </c>
      <c r="B360" s="12" t="s">
        <v>58</v>
      </c>
      <c r="C360" s="12" t="s">
        <v>707</v>
      </c>
      <c r="D360" s="24">
        <v>1.9659128163621629</v>
      </c>
      <c r="E360" s="3" t="s">
        <v>434</v>
      </c>
      <c r="F360" s="3" t="s">
        <v>425</v>
      </c>
    </row>
    <row r="361">
      <c r="A361" s="2">
        <v>27</v>
      </c>
      <c r="B361" s="12" t="s">
        <v>58</v>
      </c>
      <c r="C361" s="12" t="s">
        <v>708</v>
      </c>
      <c r="D361" s="24">
        <v>1.9659128163621629</v>
      </c>
      <c r="E361" s="3" t="s">
        <v>434</v>
      </c>
      <c r="F361" s="3" t="s">
        <v>425</v>
      </c>
    </row>
    <row r="362">
      <c r="A362" s="2">
        <v>27</v>
      </c>
      <c r="B362" s="12" t="s">
        <v>58</v>
      </c>
      <c r="C362" s="12" t="s">
        <v>709</v>
      </c>
      <c r="D362" s="24">
        <v>1.9659128163621629</v>
      </c>
      <c r="E362" s="3" t="s">
        <v>434</v>
      </c>
      <c r="F362" s="3" t="s">
        <v>425</v>
      </c>
    </row>
    <row r="363">
      <c r="A363" s="2">
        <v>27</v>
      </c>
      <c r="B363" s="12" t="s">
        <v>58</v>
      </c>
      <c r="C363" s="12" t="s">
        <v>710</v>
      </c>
      <c r="D363" s="24">
        <v>1.9659128163621629</v>
      </c>
      <c r="E363" s="3" t="s">
        <v>434</v>
      </c>
      <c r="F363" s="3" t="s">
        <v>425</v>
      </c>
    </row>
    <row r="364">
      <c r="A364" s="2">
        <v>27</v>
      </c>
      <c r="B364" s="12" t="s">
        <v>58</v>
      </c>
      <c r="C364" s="12" t="s">
        <v>711</v>
      </c>
      <c r="D364" s="24">
        <v>1.9659128163621629</v>
      </c>
      <c r="E364" s="3" t="s">
        <v>434</v>
      </c>
      <c r="F364" s="3" t="s">
        <v>425</v>
      </c>
    </row>
    <row r="365">
      <c r="A365" s="2">
        <v>27</v>
      </c>
      <c r="B365" s="12" t="s">
        <v>58</v>
      </c>
      <c r="C365" s="12" t="s">
        <v>712</v>
      </c>
      <c r="D365" s="24">
        <v>1.9659128163621629</v>
      </c>
      <c r="E365" s="3" t="s">
        <v>434</v>
      </c>
      <c r="F365" s="3" t="s">
        <v>434</v>
      </c>
    </row>
    <row r="366">
      <c r="A366" s="2">
        <v>27</v>
      </c>
      <c r="B366" s="12" t="s">
        <v>58</v>
      </c>
      <c r="C366" s="12" t="s">
        <v>713</v>
      </c>
      <c r="D366" s="24">
        <v>1.9659128163621629</v>
      </c>
      <c r="E366" s="3" t="s">
        <v>434</v>
      </c>
      <c r="F366" s="3" t="s">
        <v>434</v>
      </c>
    </row>
    <row r="367">
      <c r="A367" s="2">
        <v>27</v>
      </c>
      <c r="B367" s="12" t="s">
        <v>58</v>
      </c>
      <c r="C367" s="12" t="s">
        <v>714</v>
      </c>
      <c r="D367" s="24">
        <v>1.629048269010741</v>
      </c>
      <c r="E367" s="3" t="s">
        <v>434</v>
      </c>
      <c r="F367" s="3" t="s">
        <v>425</v>
      </c>
    </row>
    <row r="368">
      <c r="A368" s="2">
        <v>28</v>
      </c>
      <c r="B368" s="12" t="s">
        <v>52</v>
      </c>
      <c r="C368" s="12" t="s">
        <v>445</v>
      </c>
      <c r="D368" s="24">
        <v>5.212954460834371</v>
      </c>
      <c r="E368" s="3" t="s">
        <v>425</v>
      </c>
      <c r="F368" s="3" t="s">
        <v>434</v>
      </c>
    </row>
    <row r="369">
      <c r="A369" s="2">
        <v>28</v>
      </c>
      <c r="B369" s="12" t="s">
        <v>52</v>
      </c>
      <c r="C369" s="12" t="s">
        <v>648</v>
      </c>
      <c r="D369" s="24">
        <v>3.836632436477393</v>
      </c>
      <c r="E369" s="3" t="s">
        <v>425</v>
      </c>
      <c r="F369" s="3" t="s">
        <v>434</v>
      </c>
    </row>
    <row r="370">
      <c r="A370" s="2">
        <v>28</v>
      </c>
      <c r="B370" s="12" t="s">
        <v>52</v>
      </c>
      <c r="C370" s="12" t="s">
        <v>715</v>
      </c>
      <c r="D370" s="24">
        <v>1.9659128163621629</v>
      </c>
      <c r="E370" s="3" t="s">
        <v>425</v>
      </c>
      <c r="F370" s="3" t="s">
        <v>434</v>
      </c>
    </row>
    <row r="371">
      <c r="A371" s="2">
        <v>28</v>
      </c>
      <c r="B371" s="12" t="s">
        <v>52</v>
      </c>
      <c r="C371" s="12" t="s">
        <v>716</v>
      </c>
      <c r="D371" s="24">
        <v>1.9659128163621629</v>
      </c>
      <c r="E371" s="3" t="s">
        <v>425</v>
      </c>
      <c r="F371" s="3" t="s">
        <v>434</v>
      </c>
    </row>
    <row r="372">
      <c r="A372" s="2">
        <v>28</v>
      </c>
      <c r="B372" s="12" t="s">
        <v>52</v>
      </c>
      <c r="C372" s="12" t="s">
        <v>717</v>
      </c>
      <c r="D372" s="24">
        <v>1.9659128163621629</v>
      </c>
      <c r="E372" s="3" t="s">
        <v>425</v>
      </c>
      <c r="F372" s="3" t="s">
        <v>434</v>
      </c>
    </row>
    <row r="373">
      <c r="A373" s="2">
        <v>28</v>
      </c>
      <c r="B373" s="12" t="s">
        <v>52</v>
      </c>
      <c r="C373" s="12" t="s">
        <v>718</v>
      </c>
      <c r="D373" s="24">
        <v>1.9659128163621629</v>
      </c>
      <c r="E373" s="3" t="s">
        <v>425</v>
      </c>
      <c r="F373" s="3" t="s">
        <v>434</v>
      </c>
    </row>
    <row r="374">
      <c r="A374" s="2">
        <v>28</v>
      </c>
      <c r="B374" s="12" t="s">
        <v>52</v>
      </c>
      <c r="C374" s="12" t="s">
        <v>719</v>
      </c>
      <c r="D374" s="24">
        <v>1.651215784308307</v>
      </c>
      <c r="E374" s="3" t="s">
        <v>434</v>
      </c>
      <c r="F374" s="3" t="s">
        <v>434</v>
      </c>
    </row>
    <row r="375">
      <c r="A375" s="2">
        <v>28</v>
      </c>
      <c r="B375" s="12" t="s">
        <v>52</v>
      </c>
      <c r="C375" s="12" t="s">
        <v>720</v>
      </c>
      <c r="D375" s="24">
        <v>1.629048269010741</v>
      </c>
      <c r="E375" s="3" t="s">
        <v>434</v>
      </c>
      <c r="F375" s="3" t="s">
        <v>434</v>
      </c>
    </row>
    <row r="376">
      <c r="A376" s="2">
        <v>28</v>
      </c>
      <c r="B376" s="12" t="s">
        <v>52</v>
      </c>
      <c r="C376" s="12" t="s">
        <v>487</v>
      </c>
      <c r="D376" s="24">
        <v>1.4358398124420062</v>
      </c>
      <c r="E376" s="3" t="s">
        <v>434</v>
      </c>
      <c r="F376" s="3" t="s">
        <v>434</v>
      </c>
    </row>
    <row r="377">
      <c r="A377" s="2">
        <v>28</v>
      </c>
      <c r="B377" s="12" t="s">
        <v>52</v>
      </c>
      <c r="C377" s="12" t="s">
        <v>439</v>
      </c>
      <c r="D377" s="24">
        <v>1.3703828730999525</v>
      </c>
      <c r="E377" s="3" t="s">
        <v>434</v>
      </c>
      <c r="F377" s="3" t="s">
        <v>434</v>
      </c>
    </row>
    <row r="378">
      <c r="A378" s="2">
        <v>28</v>
      </c>
      <c r="B378" s="12" t="s">
        <v>52</v>
      </c>
      <c r="C378" s="12" t="s">
        <v>721</v>
      </c>
      <c r="D378" s="24">
        <v>1.3013448427221919</v>
      </c>
      <c r="E378" s="3" t="s">
        <v>434</v>
      </c>
      <c r="F378" s="3" t="s">
        <v>434</v>
      </c>
    </row>
    <row r="379">
      <c r="A379" s="2">
        <v>28</v>
      </c>
      <c r="B379" s="12" t="s">
        <v>52</v>
      </c>
      <c r="C379" s="12" t="s">
        <v>662</v>
      </c>
      <c r="D379" s="24">
        <v>1.1989476363991853</v>
      </c>
      <c r="E379" s="3" t="s">
        <v>434</v>
      </c>
      <c r="F379" s="3" t="s">
        <v>434</v>
      </c>
    </row>
    <row r="380">
      <c r="A380" s="2">
        <v>28</v>
      </c>
      <c r="B380" s="12" t="s">
        <v>52</v>
      </c>
      <c r="C380" s="12" t="s">
        <v>577</v>
      </c>
      <c r="D380" s="24">
        <v>1.1989476363991853</v>
      </c>
      <c r="E380" s="3" t="s">
        <v>434</v>
      </c>
      <c r="F380" s="3" t="s">
        <v>434</v>
      </c>
    </row>
    <row r="381">
      <c r="A381" s="2">
        <v>29</v>
      </c>
      <c r="B381" s="12" t="s">
        <v>52</v>
      </c>
      <c r="C381" s="12" t="s">
        <v>722</v>
      </c>
      <c r="D381" s="24">
        <v>6.290921012358922</v>
      </c>
      <c r="E381" s="3" t="s">
        <v>425</v>
      </c>
      <c r="F381" s="3" t="s">
        <v>425</v>
      </c>
    </row>
    <row r="382">
      <c r="A382" s="2">
        <v>29</v>
      </c>
      <c r="B382" s="12" t="s">
        <v>52</v>
      </c>
      <c r="C382" s="12" t="s">
        <v>723</v>
      </c>
      <c r="D382" s="24">
        <v>6.290921012358922</v>
      </c>
      <c r="E382" s="3" t="s">
        <v>425</v>
      </c>
      <c r="F382" s="3" t="s">
        <v>434</v>
      </c>
    </row>
    <row r="383">
      <c r="A383" s="2">
        <v>29</v>
      </c>
      <c r="B383" s="12" t="s">
        <v>52</v>
      </c>
      <c r="C383" s="12" t="s">
        <v>724</v>
      </c>
      <c r="D383" s="24">
        <v>3.836632436477393</v>
      </c>
      <c r="E383" s="3" t="s">
        <v>425</v>
      </c>
      <c r="F383" s="3" t="s">
        <v>425</v>
      </c>
    </row>
    <row r="384">
      <c r="A384" s="2">
        <v>29</v>
      </c>
      <c r="B384" s="12" t="s">
        <v>52</v>
      </c>
      <c r="C384" s="12" t="s">
        <v>725</v>
      </c>
      <c r="D384" s="24">
        <v>3.355425790046779</v>
      </c>
      <c r="E384" s="3" t="s">
        <v>425</v>
      </c>
      <c r="F384" s="3" t="s">
        <v>425</v>
      </c>
    </row>
    <row r="385">
      <c r="A385" s="2">
        <v>29</v>
      </c>
      <c r="B385" s="12" t="s">
        <v>52</v>
      </c>
      <c r="C385" s="12" t="s">
        <v>726</v>
      </c>
      <c r="D385" s="24">
        <v>1.9659128163621629</v>
      </c>
      <c r="E385" s="3" t="s">
        <v>425</v>
      </c>
      <c r="F385" s="3" t="s">
        <v>425</v>
      </c>
    </row>
    <row r="386">
      <c r="A386" s="2">
        <v>29</v>
      </c>
      <c r="B386" s="12" t="s">
        <v>52</v>
      </c>
      <c r="C386" s="12" t="s">
        <v>727</v>
      </c>
      <c r="D386" s="24">
        <v>1.9659128163621629</v>
      </c>
      <c r="E386" s="3" t="s">
        <v>425</v>
      </c>
      <c r="F386" s="3" t="s">
        <v>425</v>
      </c>
    </row>
    <row r="387">
      <c r="A387" s="2">
        <v>29</v>
      </c>
      <c r="B387" s="12" t="s">
        <v>52</v>
      </c>
      <c r="C387" s="12" t="s">
        <v>728</v>
      </c>
      <c r="D387" s="24">
        <v>1.9659128163621629</v>
      </c>
      <c r="E387" s="3" t="s">
        <v>425</v>
      </c>
      <c r="F387" s="3" t="s">
        <v>425</v>
      </c>
    </row>
    <row r="388">
      <c r="A388" s="2">
        <v>29</v>
      </c>
      <c r="B388" s="12" t="s">
        <v>52</v>
      </c>
      <c r="C388" s="12" t="s">
        <v>729</v>
      </c>
      <c r="D388" s="24">
        <v>1.9659128163621629</v>
      </c>
      <c r="E388" s="3" t="s">
        <v>434</v>
      </c>
      <c r="F388" s="3" t="s">
        <v>425</v>
      </c>
    </row>
    <row r="389">
      <c r="A389" s="2">
        <v>29</v>
      </c>
      <c r="B389" s="12" t="s">
        <v>52</v>
      </c>
      <c r="C389" s="12" t="s">
        <v>730</v>
      </c>
      <c r="D389" s="24">
        <v>1.629048269010741</v>
      </c>
      <c r="E389" s="3" t="s">
        <v>434</v>
      </c>
      <c r="F389" s="3" t="s">
        <v>425</v>
      </c>
    </row>
    <row r="390">
      <c r="A390" s="2">
        <v>29</v>
      </c>
      <c r="B390" s="12" t="s">
        <v>52</v>
      </c>
      <c r="C390" s="12" t="s">
        <v>465</v>
      </c>
      <c r="D390" s="24">
        <v>1.629048269010741</v>
      </c>
      <c r="E390" s="3" t="s">
        <v>434</v>
      </c>
      <c r="F390" s="3" t="s">
        <v>425</v>
      </c>
    </row>
    <row r="391">
      <c r="A391" s="2">
        <v>29</v>
      </c>
      <c r="B391" s="12" t="s">
        <v>52</v>
      </c>
      <c r="C391" s="12" t="s">
        <v>731</v>
      </c>
      <c r="D391" s="24">
        <v>1.629048269010741</v>
      </c>
      <c r="E391" s="3" t="s">
        <v>434</v>
      </c>
      <c r="F391" s="3" t="s">
        <v>425</v>
      </c>
    </row>
    <row r="392">
      <c r="A392" s="2">
        <v>29</v>
      </c>
      <c r="B392" s="12" t="s">
        <v>52</v>
      </c>
      <c r="C392" s="12" t="s">
        <v>732</v>
      </c>
      <c r="D392" s="24">
        <v>1.629048269010741</v>
      </c>
      <c r="E392" s="3" t="s">
        <v>434</v>
      </c>
      <c r="F392" s="3" t="s">
        <v>425</v>
      </c>
    </row>
    <row r="393">
      <c r="A393" s="2">
        <v>29</v>
      </c>
      <c r="B393" s="12" t="s">
        <v>52</v>
      </c>
      <c r="C393" s="12" t="s">
        <v>687</v>
      </c>
      <c r="D393" s="24">
        <v>1.4358398124420062</v>
      </c>
      <c r="E393" s="3" t="s">
        <v>434</v>
      </c>
      <c r="F393" s="3" t="s">
        <v>425</v>
      </c>
    </row>
    <row r="394">
      <c r="A394" s="2">
        <v>29</v>
      </c>
      <c r="B394" s="12" t="s">
        <v>52</v>
      </c>
      <c r="C394" s="12" t="s">
        <v>719</v>
      </c>
      <c r="D394" s="24">
        <v>1.4358398124420062</v>
      </c>
      <c r="E394" s="3" t="s">
        <v>434</v>
      </c>
      <c r="F394" s="3" t="s">
        <v>425</v>
      </c>
    </row>
    <row r="395">
      <c r="A395" s="2">
        <v>29</v>
      </c>
      <c r="B395" s="12" t="s">
        <v>52</v>
      </c>
      <c r="C395" s="12" t="s">
        <v>733</v>
      </c>
      <c r="D395" s="24">
        <v>1.4358398124420062</v>
      </c>
      <c r="E395" s="3" t="s">
        <v>434</v>
      </c>
      <c r="F395" s="3" t="s">
        <v>425</v>
      </c>
    </row>
    <row r="396">
      <c r="A396" s="2">
        <v>29</v>
      </c>
      <c r="B396" s="12" t="s">
        <v>52</v>
      </c>
      <c r="C396" s="12" t="s">
        <v>443</v>
      </c>
      <c r="D396" s="24">
        <v>1.1989476363991853</v>
      </c>
      <c r="E396" s="3" t="s">
        <v>434</v>
      </c>
      <c r="F396" s="3" t="s">
        <v>425</v>
      </c>
    </row>
    <row r="397">
      <c r="A397" s="2">
        <v>30</v>
      </c>
      <c r="B397" s="12" t="s">
        <v>71</v>
      </c>
      <c r="C397" s="12" t="s">
        <v>734</v>
      </c>
      <c r="D397" s="24">
        <v>7.23455916421276</v>
      </c>
      <c r="E397" s="3" t="s">
        <v>425</v>
      </c>
      <c r="F397" s="3" t="s">
        <v>425</v>
      </c>
    </row>
    <row r="398">
      <c r="A398" s="2">
        <v>30</v>
      </c>
      <c r="B398" s="12" t="s">
        <v>71</v>
      </c>
      <c r="C398" s="12" t="s">
        <v>735</v>
      </c>
      <c r="D398" s="24">
        <v>5.212954460834371</v>
      </c>
      <c r="E398" s="3" t="s">
        <v>425</v>
      </c>
      <c r="F398" s="3" t="s">
        <v>425</v>
      </c>
    </row>
    <row r="399">
      <c r="A399" s="2">
        <v>30</v>
      </c>
      <c r="B399" s="12" t="s">
        <v>71</v>
      </c>
      <c r="C399" s="12" t="s">
        <v>736</v>
      </c>
      <c r="D399" s="24">
        <v>5.212954460834371</v>
      </c>
      <c r="E399" s="3" t="s">
        <v>425</v>
      </c>
      <c r="F399" s="3" t="s">
        <v>425</v>
      </c>
    </row>
    <row r="400">
      <c r="A400" s="2">
        <v>30</v>
      </c>
      <c r="B400" s="12" t="s">
        <v>71</v>
      </c>
      <c r="C400" s="12" t="s">
        <v>655</v>
      </c>
      <c r="D400" s="24">
        <v>4.164303496711014</v>
      </c>
      <c r="E400" s="3" t="s">
        <v>425</v>
      </c>
      <c r="F400" s="3" t="s">
        <v>425</v>
      </c>
    </row>
    <row r="401">
      <c r="A401" s="2">
        <v>30</v>
      </c>
      <c r="B401" s="12" t="s">
        <v>71</v>
      </c>
      <c r="C401" s="12" t="s">
        <v>647</v>
      </c>
      <c r="D401" s="24">
        <v>4.164303496711014</v>
      </c>
      <c r="E401" s="3" t="s">
        <v>425</v>
      </c>
      <c r="F401" s="3" t="s">
        <v>425</v>
      </c>
    </row>
    <row r="402">
      <c r="A402" s="2">
        <v>30</v>
      </c>
      <c r="B402" s="12" t="s">
        <v>71</v>
      </c>
      <c r="C402" s="12" t="s">
        <v>71</v>
      </c>
      <c r="D402" s="24">
        <v>3.836632436477393</v>
      </c>
      <c r="E402" s="3" t="s">
        <v>425</v>
      </c>
      <c r="F402" s="3" t="s">
        <v>425</v>
      </c>
    </row>
    <row r="403">
      <c r="A403" s="2">
        <v>30</v>
      </c>
      <c r="B403" s="12" t="s">
        <v>71</v>
      </c>
      <c r="C403" s="12" t="s">
        <v>737</v>
      </c>
      <c r="D403" s="24">
        <v>3.836632436477393</v>
      </c>
      <c r="E403" s="3" t="s">
        <v>425</v>
      </c>
      <c r="F403" s="3" t="s">
        <v>425</v>
      </c>
    </row>
    <row r="404">
      <c r="A404" s="2">
        <v>30</v>
      </c>
      <c r="B404" s="12" t="s">
        <v>71</v>
      </c>
      <c r="C404" s="12" t="s">
        <v>725</v>
      </c>
      <c r="D404" s="24">
        <v>3.355425790046779</v>
      </c>
      <c r="E404" s="3" t="s">
        <v>425</v>
      </c>
      <c r="F404" s="3" t="s">
        <v>425</v>
      </c>
    </row>
    <row r="405">
      <c r="A405" s="2">
        <v>30</v>
      </c>
      <c r="B405" s="12" t="s">
        <v>71</v>
      </c>
      <c r="C405" s="12" t="s">
        <v>738</v>
      </c>
      <c r="D405" s="24">
        <v>1.9659128163621629</v>
      </c>
      <c r="E405" s="3" t="s">
        <v>434</v>
      </c>
      <c r="F405" s="3" t="s">
        <v>425</v>
      </c>
    </row>
    <row r="406">
      <c r="A406" s="2">
        <v>30</v>
      </c>
      <c r="B406" s="12" t="s">
        <v>71</v>
      </c>
      <c r="C406" s="12" t="s">
        <v>739</v>
      </c>
      <c r="D406" s="24">
        <v>1.9659128163621629</v>
      </c>
      <c r="E406" s="3" t="s">
        <v>434</v>
      </c>
      <c r="F406" s="3" t="s">
        <v>425</v>
      </c>
    </row>
    <row r="407">
      <c r="A407" s="2">
        <v>30</v>
      </c>
      <c r="B407" s="12" t="s">
        <v>71</v>
      </c>
      <c r="C407" s="12" t="s">
        <v>740</v>
      </c>
      <c r="D407" s="24">
        <v>1.9659128163621629</v>
      </c>
      <c r="E407" s="3" t="s">
        <v>434</v>
      </c>
      <c r="F407" s="3" t="s">
        <v>425</v>
      </c>
    </row>
    <row r="408">
      <c r="A408" s="2">
        <v>30</v>
      </c>
      <c r="B408" s="12" t="s">
        <v>71</v>
      </c>
      <c r="C408" s="12" t="s">
        <v>741</v>
      </c>
      <c r="D408" s="24">
        <v>1.9659128163621629</v>
      </c>
      <c r="E408" s="3" t="s">
        <v>434</v>
      </c>
      <c r="F408" s="3" t="s">
        <v>425</v>
      </c>
    </row>
    <row r="409">
      <c r="A409" s="2">
        <v>30</v>
      </c>
      <c r="B409" s="12" t="s">
        <v>71</v>
      </c>
      <c r="C409" s="12" t="s">
        <v>479</v>
      </c>
      <c r="D409" s="24">
        <v>1.629048269010741</v>
      </c>
      <c r="E409" s="3" t="s">
        <v>434</v>
      </c>
      <c r="F409" s="3" t="s">
        <v>425</v>
      </c>
    </row>
    <row r="410">
      <c r="A410" s="2">
        <v>30</v>
      </c>
      <c r="B410" s="12" t="s">
        <v>71</v>
      </c>
      <c r="C410" s="12" t="s">
        <v>119</v>
      </c>
      <c r="D410" s="24">
        <v>1.629048269010741</v>
      </c>
      <c r="E410" s="3" t="s">
        <v>434</v>
      </c>
      <c r="F410" s="3" t="s">
        <v>434</v>
      </c>
    </row>
    <row r="411">
      <c r="A411" s="2">
        <v>30</v>
      </c>
      <c r="B411" s="12" t="s">
        <v>71</v>
      </c>
      <c r="C411" s="12" t="s">
        <v>531</v>
      </c>
      <c r="D411" s="24">
        <v>1.629048269010741</v>
      </c>
      <c r="E411" s="3" t="s">
        <v>434</v>
      </c>
      <c r="F411" s="3" t="s">
        <v>425</v>
      </c>
    </row>
    <row r="412">
      <c r="A412" s="2">
        <v>30</v>
      </c>
      <c r="B412" s="12" t="s">
        <v>71</v>
      </c>
      <c r="C412" s="12" t="s">
        <v>565</v>
      </c>
      <c r="D412" s="24">
        <v>1.629048269010741</v>
      </c>
      <c r="E412" s="3" t="s">
        <v>434</v>
      </c>
      <c r="F412" s="3" t="s">
        <v>425</v>
      </c>
    </row>
    <row r="413">
      <c r="A413" s="2">
        <v>30</v>
      </c>
      <c r="B413" s="12" t="s">
        <v>71</v>
      </c>
      <c r="C413" s="12" t="s">
        <v>742</v>
      </c>
      <c r="D413" s="24">
        <v>1.629048269010741</v>
      </c>
      <c r="E413" s="3" t="s">
        <v>434</v>
      </c>
      <c r="F413" s="3" t="s">
        <v>425</v>
      </c>
    </row>
    <row r="414">
      <c r="A414" s="2">
        <v>30</v>
      </c>
      <c r="B414" s="12" t="s">
        <v>71</v>
      </c>
      <c r="C414" s="12" t="s">
        <v>743</v>
      </c>
      <c r="D414" s="24">
        <v>1.629048269010741</v>
      </c>
      <c r="E414" s="3" t="s">
        <v>434</v>
      </c>
      <c r="F414" s="3" t="s">
        <v>425</v>
      </c>
    </row>
    <row r="415">
      <c r="A415" s="2">
        <v>31</v>
      </c>
      <c r="B415" s="12" t="s">
        <v>71</v>
      </c>
      <c r="C415" s="12" t="s">
        <v>744</v>
      </c>
      <c r="D415" s="24">
        <v>7.23455916421276</v>
      </c>
      <c r="E415" s="3" t="s">
        <v>425</v>
      </c>
      <c r="F415" s="3" t="s">
        <v>425</v>
      </c>
    </row>
    <row r="416">
      <c r="A416" s="2">
        <v>31</v>
      </c>
      <c r="B416" s="12" t="s">
        <v>71</v>
      </c>
      <c r="C416" s="12" t="s">
        <v>745</v>
      </c>
      <c r="D416" s="24">
        <v>6.290921012358922</v>
      </c>
      <c r="E416" s="3" t="s">
        <v>425</v>
      </c>
      <c r="F416" s="3" t="s">
        <v>425</v>
      </c>
    </row>
    <row r="417">
      <c r="A417" s="2">
        <v>31</v>
      </c>
      <c r="B417" s="12" t="s">
        <v>71</v>
      </c>
      <c r="C417" s="12" t="s">
        <v>746</v>
      </c>
      <c r="D417" s="24">
        <v>6.290921012358922</v>
      </c>
      <c r="E417" s="3" t="s">
        <v>425</v>
      </c>
      <c r="F417" s="3" t="s">
        <v>425</v>
      </c>
    </row>
    <row r="418">
      <c r="A418" s="2">
        <v>31</v>
      </c>
      <c r="B418" s="12" t="s">
        <v>71</v>
      </c>
      <c r="C418" s="12" t="s">
        <v>724</v>
      </c>
      <c r="D418" s="24">
        <v>3.836632436477393</v>
      </c>
      <c r="E418" s="3" t="s">
        <v>425</v>
      </c>
      <c r="F418" s="3" t="s">
        <v>425</v>
      </c>
    </row>
    <row r="419">
      <c r="A419" s="2">
        <v>31</v>
      </c>
      <c r="B419" s="12" t="s">
        <v>71</v>
      </c>
      <c r="C419" s="12" t="s">
        <v>747</v>
      </c>
      <c r="D419" s="24">
        <v>1.9659128163621629</v>
      </c>
      <c r="E419" s="3" t="s">
        <v>425</v>
      </c>
      <c r="F419" s="3" t="s">
        <v>425</v>
      </c>
    </row>
    <row r="420">
      <c r="A420" s="2">
        <v>31</v>
      </c>
      <c r="B420" s="12" t="s">
        <v>71</v>
      </c>
      <c r="C420" s="12" t="s">
        <v>748</v>
      </c>
      <c r="D420" s="24">
        <v>1.9659128163621629</v>
      </c>
      <c r="E420" s="3" t="s">
        <v>425</v>
      </c>
      <c r="F420" s="3" t="s">
        <v>425</v>
      </c>
    </row>
    <row r="421">
      <c r="A421" s="2">
        <v>31</v>
      </c>
      <c r="B421" s="12" t="s">
        <v>71</v>
      </c>
      <c r="C421" s="12" t="s">
        <v>749</v>
      </c>
      <c r="D421" s="24">
        <v>1.9659128163621629</v>
      </c>
      <c r="E421" s="3" t="s">
        <v>434</v>
      </c>
      <c r="F421" s="3" t="s">
        <v>425</v>
      </c>
    </row>
    <row r="422">
      <c r="A422" s="2">
        <v>31</v>
      </c>
      <c r="B422" s="12" t="s">
        <v>71</v>
      </c>
      <c r="C422" s="12" t="s">
        <v>612</v>
      </c>
      <c r="D422" s="24">
        <v>1.629048269010741</v>
      </c>
      <c r="E422" s="3" t="s">
        <v>434</v>
      </c>
      <c r="F422" s="3" t="s">
        <v>425</v>
      </c>
    </row>
    <row r="423">
      <c r="A423" s="2">
        <v>31</v>
      </c>
      <c r="B423" s="12" t="s">
        <v>71</v>
      </c>
      <c r="C423" s="12" t="s">
        <v>719</v>
      </c>
      <c r="D423" s="24">
        <v>1.4358398124420062</v>
      </c>
      <c r="E423" s="3" t="s">
        <v>434</v>
      </c>
      <c r="F423" s="3" t="s">
        <v>425</v>
      </c>
    </row>
    <row r="424">
      <c r="A424" s="2">
        <v>31</v>
      </c>
      <c r="B424" s="12" t="s">
        <v>71</v>
      </c>
      <c r="C424" s="12" t="s">
        <v>537</v>
      </c>
      <c r="D424" s="24">
        <v>1.378789781859063</v>
      </c>
      <c r="E424" s="3" t="s">
        <v>434</v>
      </c>
      <c r="F424" s="3" t="s">
        <v>425</v>
      </c>
    </row>
    <row r="425">
      <c r="A425" s="2">
        <v>31</v>
      </c>
      <c r="B425" s="12" t="s">
        <v>71</v>
      </c>
      <c r="C425" s="12" t="s">
        <v>750</v>
      </c>
      <c r="D425" s="24">
        <v>1.3013448427221919</v>
      </c>
      <c r="E425" s="3" t="s">
        <v>434</v>
      </c>
      <c r="F425" s="3" t="s">
        <v>425</v>
      </c>
    </row>
    <row r="426">
      <c r="A426" s="2">
        <v>31</v>
      </c>
      <c r="B426" s="12" t="s">
        <v>71</v>
      </c>
      <c r="C426" s="12" t="s">
        <v>751</v>
      </c>
      <c r="D426" s="24">
        <v>1.3013448427221919</v>
      </c>
      <c r="E426" s="3" t="s">
        <v>434</v>
      </c>
      <c r="F426" s="3" t="s">
        <v>425</v>
      </c>
    </row>
    <row r="427">
      <c r="A427" s="2">
        <v>31</v>
      </c>
      <c r="B427" s="12" t="s">
        <v>71</v>
      </c>
      <c r="C427" s="12" t="s">
        <v>472</v>
      </c>
      <c r="D427" s="24">
        <v>1.1989476363991853</v>
      </c>
      <c r="E427" s="3" t="s">
        <v>434</v>
      </c>
      <c r="F427" s="3" t="s">
        <v>425</v>
      </c>
    </row>
    <row r="428">
      <c r="A428" s="2">
        <v>32</v>
      </c>
      <c r="B428" s="12" t="s">
        <v>53</v>
      </c>
      <c r="C428" s="12" t="s">
        <v>752</v>
      </c>
      <c r="D428" s="24">
        <v>6.290921012358922</v>
      </c>
      <c r="E428" s="3" t="s">
        <v>425</v>
      </c>
      <c r="F428" s="3" t="s">
        <v>425</v>
      </c>
    </row>
    <row r="429">
      <c r="A429" s="2">
        <v>32</v>
      </c>
      <c r="B429" s="12" t="s">
        <v>53</v>
      </c>
      <c r="C429" s="12" t="s">
        <v>634</v>
      </c>
      <c r="D429" s="24">
        <v>5.994897629959526</v>
      </c>
      <c r="E429" s="3" t="s">
        <v>425</v>
      </c>
      <c r="F429" s="3" t="s">
        <v>425</v>
      </c>
    </row>
    <row r="430">
      <c r="A430" s="2">
        <v>32</v>
      </c>
      <c r="B430" s="12" t="s">
        <v>53</v>
      </c>
      <c r="C430" s="12" t="s">
        <v>753</v>
      </c>
      <c r="D430" s="24">
        <v>5.212954460834371</v>
      </c>
      <c r="E430" s="3" t="s">
        <v>425</v>
      </c>
      <c r="F430" s="3" t="s">
        <v>434</v>
      </c>
    </row>
    <row r="431">
      <c r="A431" s="2">
        <v>32</v>
      </c>
      <c r="B431" s="12" t="s">
        <v>53</v>
      </c>
      <c r="C431" s="12" t="s">
        <v>754</v>
      </c>
      <c r="D431" s="24">
        <v>5.212954460834371</v>
      </c>
      <c r="E431" s="3" t="s">
        <v>425</v>
      </c>
      <c r="F431" s="3" t="s">
        <v>434</v>
      </c>
    </row>
    <row r="432">
      <c r="A432" s="2">
        <v>32</v>
      </c>
      <c r="B432" s="12" t="s">
        <v>53</v>
      </c>
      <c r="C432" s="12" t="s">
        <v>513</v>
      </c>
      <c r="D432" s="24">
        <v>3.573747554411351</v>
      </c>
      <c r="E432" s="3" t="s">
        <v>425</v>
      </c>
      <c r="F432" s="3" t="s">
        <v>425</v>
      </c>
    </row>
    <row r="433">
      <c r="A433" s="2">
        <v>32</v>
      </c>
      <c r="B433" s="12" t="s">
        <v>53</v>
      </c>
      <c r="C433" s="12" t="s">
        <v>755</v>
      </c>
      <c r="D433" s="24">
        <v>3.1696023501865334</v>
      </c>
      <c r="E433" s="3" t="s">
        <v>425</v>
      </c>
      <c r="F433" s="3" t="s">
        <v>434</v>
      </c>
    </row>
    <row r="434">
      <c r="A434" s="2">
        <v>32</v>
      </c>
      <c r="B434" s="12" t="s">
        <v>53</v>
      </c>
      <c r="C434" s="12" t="s">
        <v>756</v>
      </c>
      <c r="D434" s="24">
        <v>2.260799738816487</v>
      </c>
      <c r="E434" s="3" t="s">
        <v>425</v>
      </c>
      <c r="F434" s="3" t="s">
        <v>425</v>
      </c>
    </row>
    <row r="435">
      <c r="A435" s="2">
        <v>32</v>
      </c>
      <c r="B435" s="12" t="s">
        <v>53</v>
      </c>
      <c r="C435" s="12" t="s">
        <v>757</v>
      </c>
      <c r="D435" s="24">
        <v>1.9659128163621629</v>
      </c>
      <c r="E435" s="3" t="s">
        <v>425</v>
      </c>
      <c r="F435" s="3" t="s">
        <v>425</v>
      </c>
    </row>
    <row r="436">
      <c r="A436" s="2">
        <v>32</v>
      </c>
      <c r="B436" s="12" t="s">
        <v>53</v>
      </c>
      <c r="C436" s="12" t="s">
        <v>758</v>
      </c>
      <c r="D436" s="24">
        <v>1.9659128163621629</v>
      </c>
      <c r="E436" s="3" t="s">
        <v>434</v>
      </c>
      <c r="F436" s="3" t="s">
        <v>425</v>
      </c>
    </row>
    <row r="437">
      <c r="A437" s="2">
        <v>32</v>
      </c>
      <c r="B437" s="12" t="s">
        <v>53</v>
      </c>
      <c r="C437" s="12" t="s">
        <v>759</v>
      </c>
      <c r="D437" s="24">
        <v>1.9659128163621629</v>
      </c>
      <c r="E437" s="3" t="s">
        <v>434</v>
      </c>
      <c r="F437" s="3" t="s">
        <v>434</v>
      </c>
    </row>
    <row r="438">
      <c r="A438" s="2">
        <v>32</v>
      </c>
      <c r="B438" s="12" t="s">
        <v>53</v>
      </c>
      <c r="C438" s="12" t="s">
        <v>760</v>
      </c>
      <c r="D438" s="24">
        <v>1.9659128163621629</v>
      </c>
      <c r="E438" s="3" t="s">
        <v>434</v>
      </c>
      <c r="F438" s="3" t="s">
        <v>434</v>
      </c>
    </row>
    <row r="439">
      <c r="A439" s="2">
        <v>32</v>
      </c>
      <c r="B439" s="12" t="s">
        <v>53</v>
      </c>
      <c r="C439" s="12" t="s">
        <v>761</v>
      </c>
      <c r="D439" s="24">
        <v>1.9659128163621629</v>
      </c>
      <c r="E439" s="3" t="s">
        <v>434</v>
      </c>
      <c r="F439" s="3" t="s">
        <v>434</v>
      </c>
    </row>
    <row r="440">
      <c r="A440" s="2">
        <v>32</v>
      </c>
      <c r="B440" s="12" t="s">
        <v>53</v>
      </c>
      <c r="C440" s="12" t="s">
        <v>762</v>
      </c>
      <c r="D440" s="24">
        <v>1.629048269010741</v>
      </c>
      <c r="E440" s="3" t="s">
        <v>434</v>
      </c>
      <c r="F440" s="3" t="s">
        <v>425</v>
      </c>
    </row>
    <row r="441">
      <c r="A441" s="2">
        <v>32</v>
      </c>
      <c r="B441" s="12" t="s">
        <v>53</v>
      </c>
      <c r="C441" s="12" t="s">
        <v>520</v>
      </c>
      <c r="D441" s="24">
        <v>1.4965465691305204</v>
      </c>
      <c r="E441" s="3" t="s">
        <v>434</v>
      </c>
      <c r="F441" s="3" t="s">
        <v>434</v>
      </c>
    </row>
    <row r="442">
      <c r="A442" s="2">
        <v>32</v>
      </c>
      <c r="B442" s="12" t="s">
        <v>53</v>
      </c>
      <c r="C442" s="12" t="s">
        <v>763</v>
      </c>
      <c r="D442" s="24">
        <v>1.4358398124420062</v>
      </c>
      <c r="E442" s="3" t="s">
        <v>434</v>
      </c>
      <c r="F442" s="3" t="s">
        <v>425</v>
      </c>
    </row>
    <row r="443">
      <c r="A443" s="2">
        <v>32</v>
      </c>
      <c r="B443" s="12" t="s">
        <v>53</v>
      </c>
      <c r="C443" s="12" t="s">
        <v>644</v>
      </c>
      <c r="D443" s="24">
        <v>1.4358398124420062</v>
      </c>
      <c r="E443" s="3" t="s">
        <v>434</v>
      </c>
      <c r="F443" s="3" t="s">
        <v>425</v>
      </c>
    </row>
    <row r="444">
      <c r="A444" s="2">
        <v>32</v>
      </c>
      <c r="B444" s="12" t="s">
        <v>53</v>
      </c>
      <c r="C444" s="12" t="s">
        <v>764</v>
      </c>
      <c r="D444" s="24">
        <v>1.3013448427221919</v>
      </c>
      <c r="E444" s="3" t="s">
        <v>434</v>
      </c>
      <c r="F444" s="3" t="s">
        <v>425</v>
      </c>
    </row>
    <row r="445">
      <c r="A445" s="2">
        <v>32</v>
      </c>
      <c r="B445" s="12" t="s">
        <v>53</v>
      </c>
      <c r="C445" s="12" t="s">
        <v>622</v>
      </c>
      <c r="D445" s="24">
        <v>1.3013448427221919</v>
      </c>
      <c r="E445" s="3" t="s">
        <v>434</v>
      </c>
      <c r="F445" s="3" t="s">
        <v>434</v>
      </c>
    </row>
    <row r="446">
      <c r="A446" s="2">
        <v>33</v>
      </c>
      <c r="B446" s="12" t="s">
        <v>53</v>
      </c>
      <c r="C446" s="12" t="s">
        <v>765</v>
      </c>
      <c r="D446" s="24">
        <v>6.290921012358922</v>
      </c>
      <c r="E446" s="3" t="s">
        <v>425</v>
      </c>
      <c r="F446" s="3" t="s">
        <v>434</v>
      </c>
    </row>
    <row r="447">
      <c r="A447" s="2">
        <v>33</v>
      </c>
      <c r="B447" s="12" t="s">
        <v>53</v>
      </c>
      <c r="C447" s="12" t="s">
        <v>766</v>
      </c>
      <c r="D447" s="24">
        <v>6.290921012358922</v>
      </c>
      <c r="E447" s="3" t="s">
        <v>425</v>
      </c>
      <c r="F447" s="3" t="s">
        <v>434</v>
      </c>
    </row>
    <row r="448">
      <c r="A448" s="2">
        <v>33</v>
      </c>
      <c r="B448" s="12" t="s">
        <v>53</v>
      </c>
      <c r="C448" s="12" t="s">
        <v>767</v>
      </c>
      <c r="D448" s="24">
        <v>6.290921012358922</v>
      </c>
      <c r="E448" s="3" t="s">
        <v>425</v>
      </c>
      <c r="F448" s="3" t="s">
        <v>434</v>
      </c>
    </row>
    <row r="449">
      <c r="A449" s="2">
        <v>33</v>
      </c>
      <c r="B449" s="12" t="s">
        <v>53</v>
      </c>
      <c r="C449" s="12" t="s">
        <v>724</v>
      </c>
      <c r="D449" s="24">
        <v>3.836632436477393</v>
      </c>
      <c r="E449" s="3" t="s">
        <v>425</v>
      </c>
      <c r="F449" s="3" t="s">
        <v>434</v>
      </c>
    </row>
    <row r="450">
      <c r="A450" s="2">
        <v>33</v>
      </c>
      <c r="B450" s="12" t="s">
        <v>53</v>
      </c>
      <c r="C450" s="12" t="s">
        <v>755</v>
      </c>
      <c r="D450" s="24">
        <v>3.1696023501865334</v>
      </c>
      <c r="E450" s="3" t="s">
        <v>425</v>
      </c>
      <c r="F450" s="3" t="s">
        <v>434</v>
      </c>
    </row>
    <row r="451">
      <c r="A451" s="2">
        <v>33</v>
      </c>
      <c r="B451" s="12" t="s">
        <v>53</v>
      </c>
      <c r="C451" s="12" t="s">
        <v>768</v>
      </c>
      <c r="D451" s="24">
        <v>1.9659128163621629</v>
      </c>
      <c r="E451" s="3" t="s">
        <v>425</v>
      </c>
      <c r="F451" s="3" t="s">
        <v>434</v>
      </c>
    </row>
    <row r="452">
      <c r="A452" s="2">
        <v>33</v>
      </c>
      <c r="B452" s="12" t="s">
        <v>53</v>
      </c>
      <c r="C452" s="12" t="s">
        <v>769</v>
      </c>
      <c r="D452" s="24">
        <v>1.9659128163621629</v>
      </c>
      <c r="E452" s="3" t="s">
        <v>434</v>
      </c>
      <c r="F452" s="3" t="s">
        <v>434</v>
      </c>
    </row>
    <row r="453">
      <c r="A453" s="2">
        <v>33</v>
      </c>
      <c r="B453" s="12" t="s">
        <v>53</v>
      </c>
      <c r="C453" s="12" t="s">
        <v>770</v>
      </c>
      <c r="D453" s="24">
        <v>1.9659128163621629</v>
      </c>
      <c r="E453" s="3" t="s">
        <v>434</v>
      </c>
      <c r="F453" s="3" t="s">
        <v>434</v>
      </c>
    </row>
    <row r="454">
      <c r="A454" s="2">
        <v>33</v>
      </c>
      <c r="B454" s="12" t="s">
        <v>53</v>
      </c>
      <c r="C454" s="12" t="s">
        <v>771</v>
      </c>
      <c r="D454" s="24">
        <v>1.9659128163621629</v>
      </c>
      <c r="E454" s="3" t="s">
        <v>434</v>
      </c>
      <c r="F454" s="3" t="s">
        <v>434</v>
      </c>
    </row>
    <row r="455">
      <c r="A455" s="2">
        <v>33</v>
      </c>
      <c r="B455" s="12" t="s">
        <v>53</v>
      </c>
      <c r="C455" s="12" t="s">
        <v>772</v>
      </c>
      <c r="D455" s="24">
        <v>1.9659128163621629</v>
      </c>
      <c r="E455" s="3" t="s">
        <v>434</v>
      </c>
      <c r="F455" s="3" t="s">
        <v>434</v>
      </c>
    </row>
    <row r="456">
      <c r="A456" s="2">
        <v>33</v>
      </c>
      <c r="B456" s="12" t="s">
        <v>53</v>
      </c>
      <c r="C456" s="12" t="s">
        <v>773</v>
      </c>
      <c r="D456" s="24">
        <v>1.9659128163621629</v>
      </c>
      <c r="E456" s="3" t="s">
        <v>434</v>
      </c>
      <c r="F456" s="3" t="s">
        <v>434</v>
      </c>
    </row>
    <row r="457">
      <c r="A457" s="2">
        <v>33</v>
      </c>
      <c r="B457" s="12" t="s">
        <v>53</v>
      </c>
      <c r="C457" s="12" t="s">
        <v>651</v>
      </c>
      <c r="D457" s="24">
        <v>1.629048269010741</v>
      </c>
      <c r="E457" s="3" t="s">
        <v>434</v>
      </c>
      <c r="F457" s="3" t="s">
        <v>434</v>
      </c>
    </row>
    <row r="458">
      <c r="A458" s="2">
        <v>33</v>
      </c>
      <c r="B458" s="12" t="s">
        <v>53</v>
      </c>
      <c r="C458" s="12" t="s">
        <v>774</v>
      </c>
      <c r="D458" s="24">
        <v>1.629048269010741</v>
      </c>
      <c r="E458" s="3" t="s">
        <v>434</v>
      </c>
      <c r="F458" s="3" t="s">
        <v>434</v>
      </c>
    </row>
    <row r="459">
      <c r="A459" s="2">
        <v>33</v>
      </c>
      <c r="B459" s="12" t="s">
        <v>53</v>
      </c>
      <c r="C459" s="12" t="s">
        <v>775</v>
      </c>
      <c r="D459" s="24">
        <v>1.629048269010741</v>
      </c>
      <c r="E459" s="3" t="s">
        <v>434</v>
      </c>
      <c r="F459" s="3" t="s">
        <v>434</v>
      </c>
    </row>
    <row r="460">
      <c r="A460" s="2">
        <v>33</v>
      </c>
      <c r="B460" s="12" t="s">
        <v>53</v>
      </c>
      <c r="C460" s="12" t="s">
        <v>688</v>
      </c>
      <c r="D460" s="24">
        <v>1.3013448427221919</v>
      </c>
      <c r="E460" s="3" t="s">
        <v>434</v>
      </c>
      <c r="F460" s="3" t="s">
        <v>434</v>
      </c>
    </row>
    <row r="461">
      <c r="A461" s="2">
        <v>34</v>
      </c>
      <c r="B461" s="12" t="s">
        <v>69</v>
      </c>
      <c r="C461" s="12" t="s">
        <v>776</v>
      </c>
      <c r="D461" s="24">
        <v>7.23455916421276</v>
      </c>
      <c r="E461" s="3" t="s">
        <v>425</v>
      </c>
      <c r="F461" s="3" t="s">
        <v>425</v>
      </c>
    </row>
    <row r="462">
      <c r="A462" s="2">
        <v>34</v>
      </c>
      <c r="B462" s="12" t="s">
        <v>69</v>
      </c>
      <c r="C462" s="12" t="s">
        <v>777</v>
      </c>
      <c r="D462" s="24">
        <v>6.290921012358922</v>
      </c>
      <c r="E462" s="3" t="s">
        <v>425</v>
      </c>
      <c r="F462" s="3" t="s">
        <v>425</v>
      </c>
    </row>
    <row r="463">
      <c r="A463" s="2">
        <v>34</v>
      </c>
      <c r="B463" s="12" t="s">
        <v>69</v>
      </c>
      <c r="C463" s="12" t="s">
        <v>778</v>
      </c>
      <c r="D463" s="24">
        <v>6.290921012358922</v>
      </c>
      <c r="E463" s="3" t="s">
        <v>425</v>
      </c>
      <c r="F463" s="3" t="s">
        <v>425</v>
      </c>
    </row>
    <row r="464">
      <c r="A464" s="2">
        <v>34</v>
      </c>
      <c r="B464" s="12" t="s">
        <v>69</v>
      </c>
      <c r="C464" s="12" t="s">
        <v>779</v>
      </c>
      <c r="D464" s="24">
        <v>6.290921012358922</v>
      </c>
      <c r="E464" s="3" t="s">
        <v>425</v>
      </c>
      <c r="F464" s="3" t="s">
        <v>425</v>
      </c>
    </row>
    <row r="465">
      <c r="A465" s="2">
        <v>34</v>
      </c>
      <c r="B465" s="12" t="s">
        <v>69</v>
      </c>
      <c r="C465" s="12" t="s">
        <v>780</v>
      </c>
      <c r="D465" s="24">
        <v>6.290921012358922</v>
      </c>
      <c r="E465" s="3" t="s">
        <v>425</v>
      </c>
      <c r="F465" s="3" t="s">
        <v>425</v>
      </c>
    </row>
    <row r="466">
      <c r="A466" s="2">
        <v>34</v>
      </c>
      <c r="B466" s="12" t="s">
        <v>69</v>
      </c>
      <c r="C466" s="12" t="s">
        <v>781</v>
      </c>
      <c r="D466" s="24">
        <v>6.290921012358922</v>
      </c>
      <c r="E466" s="3" t="s">
        <v>425</v>
      </c>
      <c r="F466" s="3" t="s">
        <v>425</v>
      </c>
    </row>
    <row r="467">
      <c r="A467" s="2">
        <v>34</v>
      </c>
      <c r="B467" s="12" t="s">
        <v>69</v>
      </c>
      <c r="C467" s="12" t="s">
        <v>56</v>
      </c>
      <c r="D467" s="24">
        <v>4.59468739981442</v>
      </c>
      <c r="E467" s="3" t="s">
        <v>425</v>
      </c>
      <c r="F467" s="3" t="s">
        <v>434</v>
      </c>
    </row>
    <row r="468">
      <c r="A468" s="2">
        <v>34</v>
      </c>
      <c r="B468" s="12" t="s">
        <v>69</v>
      </c>
      <c r="C468" s="12" t="s">
        <v>782</v>
      </c>
      <c r="D468" s="24">
        <v>3.836632436477393</v>
      </c>
      <c r="E468" s="3" t="s">
        <v>425</v>
      </c>
      <c r="F468" s="3" t="s">
        <v>425</v>
      </c>
    </row>
    <row r="469">
      <c r="A469" s="2">
        <v>34</v>
      </c>
      <c r="B469" s="12" t="s">
        <v>69</v>
      </c>
      <c r="C469" s="12" t="s">
        <v>705</v>
      </c>
      <c r="D469" s="24">
        <v>3.836632436477393</v>
      </c>
      <c r="E469" s="3" t="s">
        <v>434</v>
      </c>
      <c r="F469" s="3" t="s">
        <v>425</v>
      </c>
    </row>
    <row r="470">
      <c r="A470" s="2">
        <v>34</v>
      </c>
      <c r="B470" s="12" t="s">
        <v>69</v>
      </c>
      <c r="C470" s="12" t="s">
        <v>513</v>
      </c>
      <c r="D470" s="24">
        <v>3.573747554411351</v>
      </c>
      <c r="E470" s="3" t="s">
        <v>434</v>
      </c>
      <c r="F470" s="3" t="s">
        <v>434</v>
      </c>
    </row>
    <row r="471">
      <c r="A471" s="2">
        <v>34</v>
      </c>
      <c r="B471" s="12" t="s">
        <v>69</v>
      </c>
      <c r="C471" s="12" t="s">
        <v>603</v>
      </c>
      <c r="D471" s="24">
        <v>3.573747554411351</v>
      </c>
      <c r="E471" s="3" t="s">
        <v>434</v>
      </c>
      <c r="F471" s="3" t="s">
        <v>434</v>
      </c>
    </row>
    <row r="472">
      <c r="A472" s="2">
        <v>34</v>
      </c>
      <c r="B472" s="12" t="s">
        <v>69</v>
      </c>
      <c r="C472" s="12" t="s">
        <v>783</v>
      </c>
      <c r="D472" s="24">
        <v>1.9659128163621629</v>
      </c>
      <c r="E472" s="3" t="s">
        <v>434</v>
      </c>
      <c r="F472" s="3" t="s">
        <v>425</v>
      </c>
    </row>
    <row r="473">
      <c r="A473" s="2">
        <v>34</v>
      </c>
      <c r="B473" s="12" t="s">
        <v>69</v>
      </c>
      <c r="C473" s="12" t="s">
        <v>784</v>
      </c>
      <c r="D473" s="24">
        <v>1.9659128163621629</v>
      </c>
      <c r="E473" s="3" t="s">
        <v>434</v>
      </c>
      <c r="F473" s="3" t="s">
        <v>425</v>
      </c>
    </row>
    <row r="474">
      <c r="A474" s="2">
        <v>34</v>
      </c>
      <c r="B474" s="12" t="s">
        <v>69</v>
      </c>
      <c r="C474" s="12" t="s">
        <v>785</v>
      </c>
      <c r="D474" s="24">
        <v>1.9659128163621629</v>
      </c>
      <c r="E474" s="3" t="s">
        <v>434</v>
      </c>
      <c r="F474" s="3" t="s">
        <v>425</v>
      </c>
    </row>
    <row r="475">
      <c r="A475" s="2">
        <v>34</v>
      </c>
      <c r="B475" s="12" t="s">
        <v>69</v>
      </c>
      <c r="C475" s="12" t="s">
        <v>786</v>
      </c>
      <c r="D475" s="24">
        <v>1.9659128163621629</v>
      </c>
      <c r="E475" s="3" t="s">
        <v>434</v>
      </c>
      <c r="F475" s="3" t="s">
        <v>425</v>
      </c>
    </row>
    <row r="476">
      <c r="A476" s="2">
        <v>34</v>
      </c>
      <c r="B476" s="12" t="s">
        <v>69</v>
      </c>
      <c r="C476" s="12" t="s">
        <v>787</v>
      </c>
      <c r="D476" s="24">
        <v>1.9659128163621629</v>
      </c>
      <c r="E476" s="3" t="s">
        <v>434</v>
      </c>
      <c r="F476" s="3" t="s">
        <v>425</v>
      </c>
    </row>
    <row r="477">
      <c r="A477" s="2">
        <v>34</v>
      </c>
      <c r="B477" s="12" t="s">
        <v>69</v>
      </c>
      <c r="C477" s="12" t="s">
        <v>788</v>
      </c>
      <c r="D477" s="24">
        <v>1.9659128163621629</v>
      </c>
      <c r="E477" s="3" t="s">
        <v>434</v>
      </c>
      <c r="F477" s="3" t="s">
        <v>425</v>
      </c>
    </row>
    <row r="478">
      <c r="A478" s="2">
        <v>34</v>
      </c>
      <c r="B478" s="12" t="s">
        <v>69</v>
      </c>
      <c r="C478" s="12" t="s">
        <v>789</v>
      </c>
      <c r="D478" s="24">
        <v>1.629048269010741</v>
      </c>
      <c r="E478" s="3" t="s">
        <v>434</v>
      </c>
      <c r="F478" s="3" t="s">
        <v>425</v>
      </c>
    </row>
    <row r="479">
      <c r="A479" s="2">
        <v>35</v>
      </c>
      <c r="B479" s="12" t="s">
        <v>69</v>
      </c>
      <c r="C479" s="12" t="s">
        <v>547</v>
      </c>
      <c r="D479" s="24">
        <v>5.283890509786583</v>
      </c>
      <c r="E479" s="3" t="s">
        <v>425</v>
      </c>
      <c r="F479" s="3" t="s">
        <v>425</v>
      </c>
    </row>
    <row r="480">
      <c r="A480" s="2">
        <v>35</v>
      </c>
      <c r="B480" s="12" t="s">
        <v>69</v>
      </c>
      <c r="C480" s="12" t="s">
        <v>790</v>
      </c>
      <c r="D480" s="24">
        <v>5.212954460834371</v>
      </c>
      <c r="E480" s="3" t="s">
        <v>425</v>
      </c>
      <c r="F480" s="3" t="s">
        <v>425</v>
      </c>
    </row>
    <row r="481">
      <c r="A481" s="2">
        <v>35</v>
      </c>
      <c r="B481" s="12" t="s">
        <v>69</v>
      </c>
      <c r="C481" s="12" t="s">
        <v>681</v>
      </c>
      <c r="D481" s="24">
        <v>4.164303496711014</v>
      </c>
      <c r="E481" s="3" t="s">
        <v>425</v>
      </c>
      <c r="F481" s="3" t="s">
        <v>425</v>
      </c>
    </row>
    <row r="482">
      <c r="A482" s="2">
        <v>35</v>
      </c>
      <c r="B482" s="12" t="s">
        <v>69</v>
      </c>
      <c r="C482" s="12" t="s">
        <v>725</v>
      </c>
      <c r="D482" s="24">
        <v>3.355425790046779</v>
      </c>
      <c r="E482" s="3" t="s">
        <v>425</v>
      </c>
      <c r="F482" s="3" t="s">
        <v>425</v>
      </c>
    </row>
    <row r="483">
      <c r="A483" s="2">
        <v>35</v>
      </c>
      <c r="B483" s="12" t="s">
        <v>69</v>
      </c>
      <c r="C483" s="12" t="s">
        <v>755</v>
      </c>
      <c r="D483" s="24">
        <v>3.1696023501865334</v>
      </c>
      <c r="E483" s="3" t="s">
        <v>425</v>
      </c>
      <c r="F483" s="3" t="s">
        <v>425</v>
      </c>
    </row>
    <row r="484">
      <c r="A484" s="2">
        <v>35</v>
      </c>
      <c r="B484" s="12" t="s">
        <v>69</v>
      </c>
      <c r="C484" s="12" t="s">
        <v>791</v>
      </c>
      <c r="D484" s="24">
        <v>3.0085005865112002</v>
      </c>
      <c r="E484" s="3" t="s">
        <v>425</v>
      </c>
      <c r="F484" s="3" t="s">
        <v>425</v>
      </c>
    </row>
    <row r="485">
      <c r="A485" s="2">
        <v>35</v>
      </c>
      <c r="B485" s="12" t="s">
        <v>69</v>
      </c>
      <c r="C485" s="12" t="s">
        <v>503</v>
      </c>
      <c r="D485" s="24">
        <v>3.0085005865112002</v>
      </c>
      <c r="E485" s="3" t="s">
        <v>425</v>
      </c>
      <c r="F485" s="3" t="s">
        <v>425</v>
      </c>
    </row>
    <row r="486">
      <c r="A486" s="2">
        <v>35</v>
      </c>
      <c r="B486" s="12" t="s">
        <v>69</v>
      </c>
      <c r="C486" s="12" t="s">
        <v>792</v>
      </c>
      <c r="D486" s="24">
        <v>1.9659128163621629</v>
      </c>
      <c r="E486" s="3" t="s">
        <v>425</v>
      </c>
      <c r="F486" s="3" t="s">
        <v>425</v>
      </c>
    </row>
    <row r="487">
      <c r="A487" s="2">
        <v>35</v>
      </c>
      <c r="B487" s="12" t="s">
        <v>69</v>
      </c>
      <c r="C487" s="12" t="s">
        <v>793</v>
      </c>
      <c r="D487" s="24">
        <v>1.9659128163621629</v>
      </c>
      <c r="E487" s="3" t="s">
        <v>434</v>
      </c>
      <c r="F487" s="3" t="s">
        <v>425</v>
      </c>
    </row>
    <row r="488">
      <c r="A488" s="2">
        <v>35</v>
      </c>
      <c r="B488" s="12" t="s">
        <v>69</v>
      </c>
      <c r="C488" s="12" t="s">
        <v>794</v>
      </c>
      <c r="D488" s="24">
        <v>1.9659128163621629</v>
      </c>
      <c r="E488" s="3" t="s">
        <v>434</v>
      </c>
      <c r="F488" s="3" t="s">
        <v>425</v>
      </c>
    </row>
    <row r="489">
      <c r="A489" s="2">
        <v>35</v>
      </c>
      <c r="B489" s="12" t="s">
        <v>69</v>
      </c>
      <c r="C489" s="12" t="s">
        <v>795</v>
      </c>
      <c r="D489" s="24">
        <v>1.9659128163621629</v>
      </c>
      <c r="E489" s="3" t="s">
        <v>434</v>
      </c>
      <c r="F489" s="3" t="s">
        <v>425</v>
      </c>
    </row>
    <row r="490">
      <c r="A490" s="2">
        <v>35</v>
      </c>
      <c r="B490" s="12" t="s">
        <v>69</v>
      </c>
      <c r="C490" s="12" t="s">
        <v>796</v>
      </c>
      <c r="D490" s="24">
        <v>1.9659128163621629</v>
      </c>
      <c r="E490" s="3" t="s">
        <v>434</v>
      </c>
      <c r="F490" s="3" t="s">
        <v>425</v>
      </c>
    </row>
    <row r="491">
      <c r="A491" s="2">
        <v>35</v>
      </c>
      <c r="B491" s="12" t="s">
        <v>69</v>
      </c>
      <c r="C491" s="12" t="s">
        <v>797</v>
      </c>
      <c r="D491" s="24">
        <v>1.9659128163621629</v>
      </c>
      <c r="E491" s="3" t="s">
        <v>434</v>
      </c>
      <c r="F491" s="3" t="s">
        <v>425</v>
      </c>
    </row>
    <row r="492">
      <c r="A492" s="2">
        <v>35</v>
      </c>
      <c r="B492" s="12" t="s">
        <v>69</v>
      </c>
      <c r="C492" s="12" t="s">
        <v>743</v>
      </c>
      <c r="D492" s="24">
        <v>1.629048269010741</v>
      </c>
      <c r="E492" s="3" t="s">
        <v>434</v>
      </c>
      <c r="F492" s="3" t="s">
        <v>425</v>
      </c>
    </row>
    <row r="493">
      <c r="A493" s="2">
        <v>35</v>
      </c>
      <c r="B493" s="12" t="s">
        <v>69</v>
      </c>
      <c r="C493" s="12" t="s">
        <v>798</v>
      </c>
      <c r="D493" s="24">
        <v>1.629048269010741</v>
      </c>
      <c r="E493" s="3" t="s">
        <v>434</v>
      </c>
      <c r="F493" s="3" t="s">
        <v>425</v>
      </c>
    </row>
    <row r="494">
      <c r="A494" s="2">
        <v>35</v>
      </c>
      <c r="B494" s="12" t="s">
        <v>69</v>
      </c>
      <c r="C494" s="12" t="s">
        <v>799</v>
      </c>
      <c r="D494" s="24">
        <v>1.3013448427221919</v>
      </c>
      <c r="E494" s="3" t="s">
        <v>434</v>
      </c>
      <c r="F494" s="3" t="s">
        <v>425</v>
      </c>
    </row>
    <row r="495">
      <c r="A495" s="2">
        <v>35</v>
      </c>
      <c r="B495" s="12" t="s">
        <v>69</v>
      </c>
      <c r="C495" s="12" t="s">
        <v>441</v>
      </c>
      <c r="D495" s="24">
        <v>1.1989476363991853</v>
      </c>
      <c r="E495" s="3" t="s">
        <v>434</v>
      </c>
      <c r="F495" s="3" t="s">
        <v>425</v>
      </c>
    </row>
    <row r="496">
      <c r="A496" s="2">
        <v>35</v>
      </c>
      <c r="B496" s="12" t="s">
        <v>69</v>
      </c>
      <c r="C496" s="12" t="s">
        <v>800</v>
      </c>
      <c r="D496" s="24">
        <v>1.1989476363991853</v>
      </c>
      <c r="E496" s="3" t="s">
        <v>434</v>
      </c>
      <c r="F496" s="3" t="s">
        <v>425</v>
      </c>
    </row>
    <row r="497">
      <c r="A497" s="2">
        <v>36</v>
      </c>
      <c r="B497" s="12" t="s">
        <v>66</v>
      </c>
      <c r="C497" s="12" t="s">
        <v>801</v>
      </c>
      <c r="D497" s="24">
        <v>6.290921012358922</v>
      </c>
      <c r="E497" s="3" t="s">
        <v>425</v>
      </c>
      <c r="F497" s="3" t="s">
        <v>425</v>
      </c>
    </row>
    <row r="498">
      <c r="A498" s="2">
        <v>36</v>
      </c>
      <c r="B498" s="12" t="s">
        <v>66</v>
      </c>
      <c r="C498" s="12" t="s">
        <v>503</v>
      </c>
      <c r="D498" s="24">
        <v>3.45977567448788</v>
      </c>
      <c r="E498" s="3" t="s">
        <v>425</v>
      </c>
      <c r="F498" s="3" t="s">
        <v>425</v>
      </c>
    </row>
    <row r="499">
      <c r="A499" s="2">
        <v>36</v>
      </c>
      <c r="B499" s="12" t="s">
        <v>66</v>
      </c>
      <c r="C499" s="12" t="s">
        <v>802</v>
      </c>
      <c r="D499" s="24">
        <v>2.866815150764888</v>
      </c>
      <c r="E499" s="3" t="s">
        <v>425</v>
      </c>
      <c r="F499" s="3" t="s">
        <v>425</v>
      </c>
    </row>
    <row r="500">
      <c r="A500" s="2">
        <v>36</v>
      </c>
      <c r="B500" s="12" t="s">
        <v>66</v>
      </c>
      <c r="C500" s="12" t="s">
        <v>803</v>
      </c>
      <c r="D500" s="24">
        <v>1.9659128163621629</v>
      </c>
      <c r="E500" s="3" t="s">
        <v>425</v>
      </c>
      <c r="F500" s="3" t="s">
        <v>425</v>
      </c>
    </row>
    <row r="501">
      <c r="A501" s="2">
        <v>36</v>
      </c>
      <c r="B501" s="12" t="s">
        <v>66</v>
      </c>
      <c r="C501" s="12" t="s">
        <v>804</v>
      </c>
      <c r="D501" s="24">
        <v>1.9659128163621629</v>
      </c>
      <c r="E501" s="3" t="s">
        <v>425</v>
      </c>
      <c r="F501" s="3" t="s">
        <v>425</v>
      </c>
    </row>
    <row r="502">
      <c r="A502" s="2">
        <v>36</v>
      </c>
      <c r="B502" s="12" t="s">
        <v>66</v>
      </c>
      <c r="C502" s="12" t="s">
        <v>805</v>
      </c>
      <c r="D502" s="24">
        <v>1.9659128163621629</v>
      </c>
      <c r="E502" s="3" t="s">
        <v>425</v>
      </c>
      <c r="F502" s="3" t="s">
        <v>425</v>
      </c>
    </row>
    <row r="503">
      <c r="A503" s="2">
        <v>36</v>
      </c>
      <c r="B503" s="12" t="s">
        <v>66</v>
      </c>
      <c r="C503" s="12" t="s">
        <v>806</v>
      </c>
      <c r="D503" s="24">
        <v>1.9659128163621629</v>
      </c>
      <c r="E503" s="3" t="s">
        <v>425</v>
      </c>
      <c r="F503" s="3" t="s">
        <v>425</v>
      </c>
    </row>
    <row r="504">
      <c r="A504" s="2">
        <v>36</v>
      </c>
      <c r="B504" s="12" t="s">
        <v>66</v>
      </c>
      <c r="C504" s="12" t="s">
        <v>807</v>
      </c>
      <c r="D504" s="24">
        <v>1.629048269010741</v>
      </c>
      <c r="E504" s="3" t="s">
        <v>434</v>
      </c>
      <c r="F504" s="3" t="s">
        <v>425</v>
      </c>
    </row>
    <row r="505">
      <c r="A505" s="2">
        <v>36</v>
      </c>
      <c r="B505" s="12" t="s">
        <v>66</v>
      </c>
      <c r="C505" s="12" t="s">
        <v>808</v>
      </c>
      <c r="D505" s="24">
        <v>1.629048269010741</v>
      </c>
      <c r="E505" s="3" t="s">
        <v>434</v>
      </c>
      <c r="F505" s="3" t="s">
        <v>425</v>
      </c>
    </row>
    <row r="506">
      <c r="A506" s="2">
        <v>36</v>
      </c>
      <c r="B506" s="12" t="s">
        <v>66</v>
      </c>
      <c r="C506" s="12" t="s">
        <v>809</v>
      </c>
      <c r="D506" s="24">
        <v>1.4358398124420062</v>
      </c>
      <c r="E506" s="3" t="s">
        <v>434</v>
      </c>
      <c r="F506" s="3" t="s">
        <v>425</v>
      </c>
    </row>
    <row r="507">
      <c r="A507" s="2">
        <v>36</v>
      </c>
      <c r="B507" s="12" t="s">
        <v>66</v>
      </c>
      <c r="C507" s="12" t="s">
        <v>810</v>
      </c>
      <c r="D507" s="24">
        <v>1.4358398124420062</v>
      </c>
      <c r="E507" s="3" t="s">
        <v>434</v>
      </c>
      <c r="F507" s="3" t="s">
        <v>425</v>
      </c>
    </row>
    <row r="508">
      <c r="A508" s="2">
        <v>36</v>
      </c>
      <c r="B508" s="12" t="s">
        <v>66</v>
      </c>
      <c r="C508" s="12" t="s">
        <v>622</v>
      </c>
      <c r="D508" s="24">
        <v>1.3013448427221919</v>
      </c>
      <c r="E508" s="3" t="s">
        <v>434</v>
      </c>
      <c r="F508" s="3" t="s">
        <v>425</v>
      </c>
    </row>
    <row r="509">
      <c r="A509" s="2">
        <v>36</v>
      </c>
      <c r="B509" s="12" t="s">
        <v>66</v>
      </c>
      <c r="C509" s="12" t="s">
        <v>751</v>
      </c>
      <c r="D509" s="24">
        <v>1.3013448427221919</v>
      </c>
      <c r="E509" s="3" t="s">
        <v>434</v>
      </c>
      <c r="F509" s="3" t="s">
        <v>425</v>
      </c>
    </row>
    <row r="510">
      <c r="A510" s="2">
        <v>36</v>
      </c>
      <c r="B510" s="12" t="s">
        <v>66</v>
      </c>
      <c r="C510" s="12" t="s">
        <v>472</v>
      </c>
      <c r="D510" s="24">
        <v>1.1989476363991853</v>
      </c>
      <c r="E510" s="3" t="s">
        <v>434</v>
      </c>
      <c r="F510" s="3" t="s">
        <v>425</v>
      </c>
    </row>
    <row r="511">
      <c r="A511" s="2">
        <v>36</v>
      </c>
      <c r="B511" s="12" t="s">
        <v>66</v>
      </c>
      <c r="C511" s="12" t="s">
        <v>491</v>
      </c>
      <c r="D511" s="24">
        <v>1.1989476363991853</v>
      </c>
      <c r="E511" s="3" t="s">
        <v>434</v>
      </c>
      <c r="F511" s="3" t="s">
        <v>425</v>
      </c>
    </row>
    <row r="512">
      <c r="A512" s="2">
        <v>36</v>
      </c>
      <c r="B512" s="12" t="s">
        <v>66</v>
      </c>
      <c r="C512" s="12" t="s">
        <v>811</v>
      </c>
      <c r="D512" s="24">
        <v>1.1989476363991853</v>
      </c>
      <c r="E512" s="3" t="s">
        <v>434</v>
      </c>
      <c r="F512" s="3" t="s">
        <v>425</v>
      </c>
    </row>
    <row r="513">
      <c r="A513" s="2">
        <v>37</v>
      </c>
      <c r="B513" s="12" t="s">
        <v>68</v>
      </c>
      <c r="C513" s="12" t="s">
        <v>812</v>
      </c>
      <c r="D513" s="24">
        <v>6.290921012358922</v>
      </c>
      <c r="E513" s="3" t="s">
        <v>425</v>
      </c>
      <c r="F513" s="3" t="s">
        <v>425</v>
      </c>
    </row>
    <row r="514">
      <c r="A514" s="2">
        <v>37</v>
      </c>
      <c r="B514" s="12" t="s">
        <v>68</v>
      </c>
      <c r="C514" s="12" t="s">
        <v>813</v>
      </c>
      <c r="D514" s="24">
        <v>5.994897629959526</v>
      </c>
      <c r="E514" s="3" t="s">
        <v>425</v>
      </c>
      <c r="F514" s="3" t="s">
        <v>425</v>
      </c>
    </row>
    <row r="515">
      <c r="A515" s="2">
        <v>37</v>
      </c>
      <c r="B515" s="12" t="s">
        <v>68</v>
      </c>
      <c r="C515" s="12" t="s">
        <v>814</v>
      </c>
      <c r="D515" s="24">
        <v>5.212954460834371</v>
      </c>
      <c r="E515" s="3" t="s">
        <v>425</v>
      </c>
      <c r="F515" s="3" t="s">
        <v>434</v>
      </c>
    </row>
    <row r="516">
      <c r="A516" s="2">
        <v>37</v>
      </c>
      <c r="B516" s="12" t="s">
        <v>68</v>
      </c>
      <c r="C516" s="12" t="s">
        <v>815</v>
      </c>
      <c r="D516" s="24">
        <v>5.212954460834371</v>
      </c>
      <c r="E516" s="3" t="s">
        <v>425</v>
      </c>
      <c r="F516" s="3" t="s">
        <v>434</v>
      </c>
    </row>
    <row r="517">
      <c r="A517" s="2">
        <v>37</v>
      </c>
      <c r="B517" s="12" t="s">
        <v>68</v>
      </c>
      <c r="C517" s="12" t="s">
        <v>56</v>
      </c>
      <c r="D517" s="24">
        <v>4.59468739981442</v>
      </c>
      <c r="E517" s="3" t="s">
        <v>425</v>
      </c>
      <c r="F517" s="3" t="s">
        <v>425</v>
      </c>
    </row>
    <row r="518">
      <c r="A518" s="2">
        <v>37</v>
      </c>
      <c r="B518" s="12" t="s">
        <v>68</v>
      </c>
      <c r="C518" s="12" t="s">
        <v>71</v>
      </c>
      <c r="D518" s="24">
        <v>3.836632436477393</v>
      </c>
      <c r="E518" s="3" t="s">
        <v>425</v>
      </c>
      <c r="F518" s="3" t="s">
        <v>425</v>
      </c>
    </row>
    <row r="519">
      <c r="A519" s="2">
        <v>37</v>
      </c>
      <c r="B519" s="12" t="s">
        <v>68</v>
      </c>
      <c r="C519" s="12" t="s">
        <v>65</v>
      </c>
      <c r="D519" s="24">
        <v>3.836632436477393</v>
      </c>
      <c r="E519" s="3" t="s">
        <v>425</v>
      </c>
      <c r="F519" s="3" t="s">
        <v>425</v>
      </c>
    </row>
    <row r="520">
      <c r="A520" s="2">
        <v>37</v>
      </c>
      <c r="B520" s="12" t="s">
        <v>68</v>
      </c>
      <c r="C520" s="12" t="s">
        <v>603</v>
      </c>
      <c r="D520" s="24">
        <v>3.573747554411351</v>
      </c>
      <c r="E520" s="3" t="s">
        <v>425</v>
      </c>
      <c r="F520" s="3" t="s">
        <v>425</v>
      </c>
    </row>
    <row r="521">
      <c r="A521" s="2">
        <v>37</v>
      </c>
      <c r="B521" s="12" t="s">
        <v>68</v>
      </c>
      <c r="C521" s="12" t="s">
        <v>816</v>
      </c>
      <c r="D521" s="24">
        <v>1.9659128163621629</v>
      </c>
      <c r="E521" s="3" t="s">
        <v>434</v>
      </c>
      <c r="F521" s="3" t="s">
        <v>425</v>
      </c>
    </row>
    <row r="522">
      <c r="A522" s="2">
        <v>37</v>
      </c>
      <c r="B522" s="12" t="s">
        <v>68</v>
      </c>
      <c r="C522" s="12" t="s">
        <v>817</v>
      </c>
      <c r="D522" s="24">
        <v>1.9659128163621629</v>
      </c>
      <c r="E522" s="3" t="s">
        <v>434</v>
      </c>
      <c r="F522" s="3" t="s">
        <v>425</v>
      </c>
    </row>
    <row r="523">
      <c r="A523" s="2">
        <v>37</v>
      </c>
      <c r="B523" s="12" t="s">
        <v>68</v>
      </c>
      <c r="C523" s="12" t="s">
        <v>818</v>
      </c>
      <c r="D523" s="24">
        <v>1.9659128163621629</v>
      </c>
      <c r="E523" s="3" t="s">
        <v>434</v>
      </c>
      <c r="F523" s="3" t="s">
        <v>425</v>
      </c>
    </row>
    <row r="524">
      <c r="A524" s="2">
        <v>37</v>
      </c>
      <c r="B524" s="12" t="s">
        <v>68</v>
      </c>
      <c r="C524" s="12" t="s">
        <v>819</v>
      </c>
      <c r="D524" s="24">
        <v>1.9659128163621629</v>
      </c>
      <c r="E524" s="3" t="s">
        <v>434</v>
      </c>
      <c r="F524" s="3" t="s">
        <v>425</v>
      </c>
    </row>
    <row r="525">
      <c r="A525" s="2">
        <v>37</v>
      </c>
      <c r="B525" s="12" t="s">
        <v>68</v>
      </c>
      <c r="C525" s="12" t="s">
        <v>820</v>
      </c>
      <c r="D525" s="24">
        <v>1.9659128163621629</v>
      </c>
      <c r="E525" s="3" t="s">
        <v>434</v>
      </c>
      <c r="F525" s="3" t="s">
        <v>425</v>
      </c>
    </row>
    <row r="526">
      <c r="A526" s="2">
        <v>37</v>
      </c>
      <c r="B526" s="12" t="s">
        <v>68</v>
      </c>
      <c r="C526" s="12" t="s">
        <v>575</v>
      </c>
      <c r="D526" s="24">
        <v>1.629048269010741</v>
      </c>
      <c r="E526" s="3" t="s">
        <v>434</v>
      </c>
      <c r="F526" s="3" t="s">
        <v>425</v>
      </c>
    </row>
    <row r="527">
      <c r="A527" s="2">
        <v>37</v>
      </c>
      <c r="B527" s="12" t="s">
        <v>68</v>
      </c>
      <c r="C527" s="12" t="s">
        <v>686</v>
      </c>
      <c r="D527" s="24">
        <v>1.629048269010741</v>
      </c>
      <c r="E527" s="3" t="s">
        <v>434</v>
      </c>
      <c r="F527" s="3" t="s">
        <v>425</v>
      </c>
    </row>
    <row r="528">
      <c r="A528" s="2">
        <v>37</v>
      </c>
      <c r="B528" s="12" t="s">
        <v>68</v>
      </c>
      <c r="C528" s="12" t="s">
        <v>821</v>
      </c>
      <c r="D528" s="24">
        <v>1.4965465691305204</v>
      </c>
      <c r="E528" s="3" t="s">
        <v>434</v>
      </c>
      <c r="F528" s="3" t="s">
        <v>425</v>
      </c>
    </row>
    <row r="529">
      <c r="A529" s="2">
        <v>37</v>
      </c>
      <c r="B529" s="12" t="s">
        <v>68</v>
      </c>
      <c r="C529" s="12" t="s">
        <v>822</v>
      </c>
      <c r="D529" s="24">
        <v>1.4358398124420062</v>
      </c>
      <c r="E529" s="3" t="s">
        <v>434</v>
      </c>
      <c r="F529" s="3" t="s">
        <v>425</v>
      </c>
    </row>
    <row r="530">
      <c r="A530" s="2">
        <v>37</v>
      </c>
      <c r="B530" s="12" t="s">
        <v>68</v>
      </c>
      <c r="C530" s="12" t="s">
        <v>823</v>
      </c>
      <c r="D530" s="24">
        <v>1.4358398124420062</v>
      </c>
      <c r="E530" s="3" t="s">
        <v>434</v>
      </c>
      <c r="F530" s="3" t="s">
        <v>425</v>
      </c>
    </row>
    <row r="531">
      <c r="A531" s="2">
        <v>38</v>
      </c>
      <c r="B531" s="12" t="s">
        <v>54</v>
      </c>
      <c r="C531" s="12" t="s">
        <v>824</v>
      </c>
      <c r="D531" s="24">
        <v>6.290921012358922</v>
      </c>
      <c r="E531" s="3" t="s">
        <v>425</v>
      </c>
      <c r="F531" s="3" t="s">
        <v>434</v>
      </c>
    </row>
    <row r="532">
      <c r="A532" s="2">
        <v>38</v>
      </c>
      <c r="B532" s="12" t="s">
        <v>54</v>
      </c>
      <c r="C532" s="12" t="s">
        <v>143</v>
      </c>
      <c r="D532" s="24">
        <v>5.283890509786583</v>
      </c>
      <c r="E532" s="3" t="s">
        <v>425</v>
      </c>
      <c r="F532" s="3" t="s">
        <v>434</v>
      </c>
    </row>
    <row r="533">
      <c r="A533" s="2">
        <v>38</v>
      </c>
      <c r="B533" s="12" t="s">
        <v>54</v>
      </c>
      <c r="C533" s="12" t="s">
        <v>825</v>
      </c>
      <c r="D533" s="24">
        <v>5.212954460834371</v>
      </c>
      <c r="E533" s="3" t="s">
        <v>425</v>
      </c>
      <c r="F533" s="3" t="s">
        <v>434</v>
      </c>
    </row>
    <row r="534">
      <c r="A534" s="2">
        <v>38</v>
      </c>
      <c r="B534" s="12" t="s">
        <v>54</v>
      </c>
      <c r="C534" s="12" t="s">
        <v>444</v>
      </c>
      <c r="D534" s="24">
        <v>4.59468739981442</v>
      </c>
      <c r="E534" s="3" t="s">
        <v>425</v>
      </c>
      <c r="F534" s="3" t="s">
        <v>434</v>
      </c>
    </row>
    <row r="535">
      <c r="A535" s="2">
        <v>38</v>
      </c>
      <c r="B535" s="12" t="s">
        <v>54</v>
      </c>
      <c r="C535" s="12" t="s">
        <v>826</v>
      </c>
      <c r="D535" s="24">
        <v>4.164303496711014</v>
      </c>
      <c r="E535" s="3" t="s">
        <v>425</v>
      </c>
      <c r="F535" s="3" t="s">
        <v>434</v>
      </c>
    </row>
    <row r="536">
      <c r="A536" s="2">
        <v>38</v>
      </c>
      <c r="B536" s="12" t="s">
        <v>54</v>
      </c>
      <c r="C536" s="12" t="s">
        <v>503</v>
      </c>
      <c r="D536" s="24">
        <v>3.0085005865112002</v>
      </c>
      <c r="E536" s="3" t="s">
        <v>425</v>
      </c>
      <c r="F536" s="3" t="s">
        <v>434</v>
      </c>
    </row>
    <row r="537">
      <c r="A537" s="2">
        <v>38</v>
      </c>
      <c r="B537" s="12" t="s">
        <v>54</v>
      </c>
      <c r="C537" s="12" t="s">
        <v>827</v>
      </c>
      <c r="D537" s="24">
        <v>1.9659128163621629</v>
      </c>
      <c r="E537" s="3" t="s">
        <v>425</v>
      </c>
      <c r="F537" s="3" t="s">
        <v>434</v>
      </c>
    </row>
    <row r="538">
      <c r="A538" s="2">
        <v>38</v>
      </c>
      <c r="B538" s="12" t="s">
        <v>54</v>
      </c>
      <c r="C538" s="12" t="s">
        <v>543</v>
      </c>
      <c r="D538" s="24">
        <v>1.629048269010741</v>
      </c>
      <c r="E538" s="3" t="s">
        <v>425</v>
      </c>
      <c r="F538" s="3" t="s">
        <v>434</v>
      </c>
    </row>
    <row r="539">
      <c r="A539" s="2">
        <v>38</v>
      </c>
      <c r="B539" s="12" t="s">
        <v>54</v>
      </c>
      <c r="C539" s="12" t="s">
        <v>828</v>
      </c>
      <c r="D539" s="24">
        <v>1.629048269010741</v>
      </c>
      <c r="E539" s="3" t="s">
        <v>434</v>
      </c>
      <c r="F539" s="3" t="s">
        <v>434</v>
      </c>
    </row>
    <row r="540">
      <c r="A540" s="2">
        <v>38</v>
      </c>
      <c r="B540" s="12" t="s">
        <v>54</v>
      </c>
      <c r="C540" s="12" t="s">
        <v>829</v>
      </c>
      <c r="D540" s="24">
        <v>1.629048269010741</v>
      </c>
      <c r="E540" s="3" t="s">
        <v>434</v>
      </c>
      <c r="F540" s="3" t="s">
        <v>434</v>
      </c>
    </row>
    <row r="541">
      <c r="A541" s="2">
        <v>38</v>
      </c>
      <c r="B541" s="12" t="s">
        <v>54</v>
      </c>
      <c r="C541" s="12" t="s">
        <v>468</v>
      </c>
      <c r="D541" s="24">
        <v>1.4358398124420062</v>
      </c>
      <c r="E541" s="3" t="s">
        <v>434</v>
      </c>
      <c r="F541" s="3" t="s">
        <v>434</v>
      </c>
    </row>
    <row r="542">
      <c r="A542" s="2">
        <v>38</v>
      </c>
      <c r="B542" s="12" t="s">
        <v>54</v>
      </c>
      <c r="C542" s="12" t="s">
        <v>545</v>
      </c>
      <c r="D542" s="24">
        <v>1.4358398124420062</v>
      </c>
      <c r="E542" s="3" t="s">
        <v>434</v>
      </c>
      <c r="F542" s="3" t="s">
        <v>434</v>
      </c>
    </row>
    <row r="543">
      <c r="A543" s="2">
        <v>38</v>
      </c>
      <c r="B543" s="12" t="s">
        <v>54</v>
      </c>
      <c r="C543" s="12" t="s">
        <v>660</v>
      </c>
      <c r="D543" s="24">
        <v>1.4358398124420062</v>
      </c>
      <c r="E543" s="3" t="s">
        <v>434</v>
      </c>
      <c r="F543" s="3" t="s">
        <v>434</v>
      </c>
    </row>
    <row r="544">
      <c r="A544" s="2">
        <v>38</v>
      </c>
      <c r="B544" s="12" t="s">
        <v>54</v>
      </c>
      <c r="C544" s="12" t="s">
        <v>830</v>
      </c>
      <c r="D544" s="24">
        <v>1.4358398124420062</v>
      </c>
      <c r="E544" s="3" t="s">
        <v>434</v>
      </c>
      <c r="F544" s="3" t="s">
        <v>434</v>
      </c>
    </row>
    <row r="545">
      <c r="A545" s="2">
        <v>38</v>
      </c>
      <c r="B545" s="12" t="s">
        <v>54</v>
      </c>
      <c r="C545" s="12" t="s">
        <v>831</v>
      </c>
      <c r="D545" s="24">
        <v>1.4358398124420062</v>
      </c>
      <c r="E545" s="3" t="s">
        <v>434</v>
      </c>
      <c r="F545" s="3" t="s">
        <v>434</v>
      </c>
    </row>
    <row r="546">
      <c r="A546" s="2">
        <v>38</v>
      </c>
      <c r="B546" s="12" t="s">
        <v>54</v>
      </c>
      <c r="C546" s="12" t="s">
        <v>821</v>
      </c>
      <c r="D546" s="24">
        <v>1.3013448427221919</v>
      </c>
      <c r="E546" s="3" t="s">
        <v>434</v>
      </c>
      <c r="F546" s="3" t="s">
        <v>434</v>
      </c>
    </row>
    <row r="547">
      <c r="A547" s="2">
        <v>38</v>
      </c>
      <c r="B547" s="12" t="s">
        <v>54</v>
      </c>
      <c r="C547" s="12" t="s">
        <v>535</v>
      </c>
      <c r="D547" s="24">
        <v>1.3013448427221919</v>
      </c>
      <c r="E547" s="3" t="s">
        <v>434</v>
      </c>
      <c r="F547" s="3" t="s">
        <v>434</v>
      </c>
    </row>
    <row r="548">
      <c r="A548" s="2">
        <v>38</v>
      </c>
      <c r="B548" s="12" t="s">
        <v>54</v>
      </c>
      <c r="C548" s="12" t="s">
        <v>601</v>
      </c>
      <c r="D548" s="24">
        <v>1.3013448427221919</v>
      </c>
      <c r="E548" s="3" t="s">
        <v>434</v>
      </c>
      <c r="F548" s="3" t="s">
        <v>434</v>
      </c>
    </row>
    <row r="549">
      <c r="A549" s="2">
        <v>39</v>
      </c>
      <c r="B549" s="12" t="s">
        <v>61</v>
      </c>
      <c r="C549" s="12" t="s">
        <v>832</v>
      </c>
      <c r="D549" s="24">
        <v>6.290921012358922</v>
      </c>
      <c r="E549" s="3" t="s">
        <v>425</v>
      </c>
      <c r="F549" s="3" t="s">
        <v>425</v>
      </c>
    </row>
    <row r="550">
      <c r="A550" s="2">
        <v>39</v>
      </c>
      <c r="B550" s="12" t="s">
        <v>61</v>
      </c>
      <c r="C550" s="12" t="s">
        <v>833</v>
      </c>
      <c r="D550" s="24">
        <v>5.212954460834371</v>
      </c>
      <c r="E550" s="3" t="s">
        <v>425</v>
      </c>
      <c r="F550" s="3" t="s">
        <v>425</v>
      </c>
    </row>
    <row r="551">
      <c r="A551" s="2">
        <v>39</v>
      </c>
      <c r="B551" s="12" t="s">
        <v>61</v>
      </c>
      <c r="C551" s="12" t="s">
        <v>704</v>
      </c>
      <c r="D551" s="24">
        <v>4.164303496711014</v>
      </c>
      <c r="E551" s="3" t="s">
        <v>425</v>
      </c>
      <c r="F551" s="3" t="s">
        <v>425</v>
      </c>
    </row>
    <row r="552">
      <c r="A552" s="2">
        <v>39</v>
      </c>
      <c r="B552" s="12" t="s">
        <v>61</v>
      </c>
      <c r="C552" s="12" t="s">
        <v>826</v>
      </c>
      <c r="D552" s="24">
        <v>4.164303496711014</v>
      </c>
      <c r="E552" s="3" t="s">
        <v>425</v>
      </c>
      <c r="F552" s="3" t="s">
        <v>425</v>
      </c>
    </row>
    <row r="553">
      <c r="A553" s="2">
        <v>39</v>
      </c>
      <c r="B553" s="12" t="s">
        <v>61</v>
      </c>
      <c r="C553" s="12" t="s">
        <v>782</v>
      </c>
      <c r="D553" s="24">
        <v>3.836632436477393</v>
      </c>
      <c r="E553" s="3" t="s">
        <v>425</v>
      </c>
      <c r="F553" s="3" t="s">
        <v>434</v>
      </c>
    </row>
    <row r="554">
      <c r="A554" s="2">
        <v>39</v>
      </c>
      <c r="B554" s="12" t="s">
        <v>61</v>
      </c>
      <c r="C554" s="12" t="s">
        <v>834</v>
      </c>
      <c r="D554" s="24">
        <v>3.836632436477393</v>
      </c>
      <c r="E554" s="3" t="s">
        <v>425</v>
      </c>
      <c r="F554" s="3" t="s">
        <v>434</v>
      </c>
    </row>
    <row r="555">
      <c r="A555" s="2">
        <v>39</v>
      </c>
      <c r="B555" s="12" t="s">
        <v>61</v>
      </c>
      <c r="C555" s="12" t="s">
        <v>705</v>
      </c>
      <c r="D555" s="24">
        <v>3.836632436477393</v>
      </c>
      <c r="E555" s="3" t="s">
        <v>425</v>
      </c>
      <c r="F555" s="3" t="s">
        <v>434</v>
      </c>
    </row>
    <row r="556">
      <c r="A556" s="2">
        <v>39</v>
      </c>
      <c r="B556" s="12" t="s">
        <v>61</v>
      </c>
      <c r="C556" s="12" t="s">
        <v>706</v>
      </c>
      <c r="D556" s="24">
        <v>3.836632436477393</v>
      </c>
      <c r="E556" s="3" t="s">
        <v>425</v>
      </c>
      <c r="F556" s="3" t="s">
        <v>425</v>
      </c>
    </row>
    <row r="557">
      <c r="A557" s="2">
        <v>39</v>
      </c>
      <c r="B557" s="12" t="s">
        <v>61</v>
      </c>
      <c r="C557" s="12" t="s">
        <v>791</v>
      </c>
      <c r="D557" s="24">
        <v>3.0085005865112002</v>
      </c>
      <c r="E557" s="3" t="s">
        <v>434</v>
      </c>
      <c r="F557" s="3" t="s">
        <v>425</v>
      </c>
    </row>
    <row r="558">
      <c r="A558" s="2">
        <v>39</v>
      </c>
      <c r="B558" s="12" t="s">
        <v>61</v>
      </c>
      <c r="C558" s="12" t="s">
        <v>835</v>
      </c>
      <c r="D558" s="24">
        <v>1.9659128163621629</v>
      </c>
      <c r="E558" s="3" t="s">
        <v>434</v>
      </c>
      <c r="F558" s="3" t="s">
        <v>425</v>
      </c>
    </row>
    <row r="559">
      <c r="A559" s="2">
        <v>39</v>
      </c>
      <c r="B559" s="12" t="s">
        <v>61</v>
      </c>
      <c r="C559" s="12" t="s">
        <v>836</v>
      </c>
      <c r="D559" s="24">
        <v>1.9659128163621629</v>
      </c>
      <c r="E559" s="3" t="s">
        <v>434</v>
      </c>
      <c r="F559" s="3" t="s">
        <v>425</v>
      </c>
    </row>
    <row r="560">
      <c r="A560" s="2">
        <v>39</v>
      </c>
      <c r="B560" s="12" t="s">
        <v>61</v>
      </c>
      <c r="C560" s="12" t="s">
        <v>837</v>
      </c>
      <c r="D560" s="24">
        <v>1.9659128163621629</v>
      </c>
      <c r="E560" s="3" t="s">
        <v>434</v>
      </c>
      <c r="F560" s="3" t="s">
        <v>425</v>
      </c>
    </row>
    <row r="561">
      <c r="A561" s="2">
        <v>39</v>
      </c>
      <c r="B561" s="12" t="s">
        <v>61</v>
      </c>
      <c r="C561" s="12" t="s">
        <v>838</v>
      </c>
      <c r="D561" s="24">
        <v>1.9659128163621629</v>
      </c>
      <c r="E561" s="3" t="s">
        <v>434</v>
      </c>
      <c r="F561" s="3" t="s">
        <v>425</v>
      </c>
    </row>
    <row r="562">
      <c r="A562" s="2">
        <v>39</v>
      </c>
      <c r="B562" s="12" t="s">
        <v>61</v>
      </c>
      <c r="C562" s="12" t="s">
        <v>453</v>
      </c>
      <c r="D562" s="24">
        <v>1.629048269010741</v>
      </c>
      <c r="E562" s="3" t="s">
        <v>434</v>
      </c>
      <c r="F562" s="3" t="s">
        <v>425</v>
      </c>
    </row>
    <row r="563">
      <c r="A563" s="2">
        <v>39</v>
      </c>
      <c r="B563" s="12" t="s">
        <v>61</v>
      </c>
      <c r="C563" s="12" t="s">
        <v>640</v>
      </c>
      <c r="D563" s="24">
        <v>1.629048269010741</v>
      </c>
      <c r="E563" s="3" t="s">
        <v>434</v>
      </c>
      <c r="F563" s="3" t="s">
        <v>425</v>
      </c>
    </row>
    <row r="564">
      <c r="A564" s="2">
        <v>39</v>
      </c>
      <c r="B564" s="12" t="s">
        <v>61</v>
      </c>
      <c r="C564" s="12" t="s">
        <v>839</v>
      </c>
      <c r="D564" s="24">
        <v>1.629048269010741</v>
      </c>
      <c r="E564" s="3" t="s">
        <v>434</v>
      </c>
      <c r="F564" s="3" t="s">
        <v>425</v>
      </c>
    </row>
    <row r="565">
      <c r="A565" s="2">
        <v>39</v>
      </c>
      <c r="B565" s="12" t="s">
        <v>61</v>
      </c>
      <c r="C565" s="12" t="s">
        <v>840</v>
      </c>
      <c r="D565" s="24">
        <v>1.629048269010741</v>
      </c>
      <c r="E565" s="3" t="s">
        <v>434</v>
      </c>
      <c r="F565" s="3" t="s">
        <v>425</v>
      </c>
    </row>
    <row r="566">
      <c r="A566" s="2">
        <v>39</v>
      </c>
      <c r="B566" s="12" t="s">
        <v>61</v>
      </c>
      <c r="C566" s="12" t="s">
        <v>476</v>
      </c>
      <c r="D566" s="24">
        <v>1.4358398124420062</v>
      </c>
      <c r="E566" s="3" t="s">
        <v>434</v>
      </c>
      <c r="F566" s="3" t="s">
        <v>425</v>
      </c>
    </row>
    <row r="567">
      <c r="A567" s="2">
        <v>40</v>
      </c>
      <c r="B567" s="12" t="s">
        <v>68</v>
      </c>
      <c r="C567" s="12" t="s">
        <v>841</v>
      </c>
      <c r="D567" s="24">
        <v>7.23455916421276</v>
      </c>
      <c r="E567" s="3" t="s">
        <v>425</v>
      </c>
      <c r="F567" s="3" t="s">
        <v>425</v>
      </c>
    </row>
    <row r="568">
      <c r="A568" s="2">
        <v>40</v>
      </c>
      <c r="B568" s="12" t="s">
        <v>68</v>
      </c>
      <c r="C568" s="12" t="s">
        <v>842</v>
      </c>
      <c r="D568" s="24">
        <v>5.212954460834371</v>
      </c>
      <c r="E568" s="3" t="s">
        <v>425</v>
      </c>
      <c r="F568" s="3" t="s">
        <v>425</v>
      </c>
    </row>
    <row r="569">
      <c r="A569" s="2">
        <v>40</v>
      </c>
      <c r="B569" s="12" t="s">
        <v>68</v>
      </c>
      <c r="C569" s="12" t="s">
        <v>843</v>
      </c>
      <c r="D569" s="24">
        <v>4.59468739981442</v>
      </c>
      <c r="E569" s="3" t="s">
        <v>425</v>
      </c>
      <c r="F569" s="3" t="s">
        <v>425</v>
      </c>
    </row>
    <row r="570">
      <c r="A570" s="2">
        <v>40</v>
      </c>
      <c r="B570" s="12" t="s">
        <v>68</v>
      </c>
      <c r="C570" s="12" t="s">
        <v>826</v>
      </c>
      <c r="D570" s="24">
        <v>4.164303496711014</v>
      </c>
      <c r="E570" s="3" t="s">
        <v>425</v>
      </c>
      <c r="F570" s="3" t="s">
        <v>425</v>
      </c>
    </row>
    <row r="571">
      <c r="A571" s="2">
        <v>40</v>
      </c>
      <c r="B571" s="12" t="s">
        <v>68</v>
      </c>
      <c r="C571" s="12" t="s">
        <v>724</v>
      </c>
      <c r="D571" s="24">
        <v>3.836632436477393</v>
      </c>
      <c r="E571" s="3" t="s">
        <v>425</v>
      </c>
      <c r="F571" s="3" t="s">
        <v>425</v>
      </c>
    </row>
    <row r="572">
      <c r="A572" s="2">
        <v>40</v>
      </c>
      <c r="B572" s="12" t="s">
        <v>68</v>
      </c>
      <c r="C572" s="12" t="s">
        <v>527</v>
      </c>
      <c r="D572" s="24">
        <v>3.573747554411351</v>
      </c>
      <c r="E572" s="3" t="s">
        <v>425</v>
      </c>
      <c r="F572" s="3" t="s">
        <v>425</v>
      </c>
    </row>
    <row r="573">
      <c r="A573" s="2">
        <v>40</v>
      </c>
      <c r="B573" s="12" t="s">
        <v>68</v>
      </c>
      <c r="C573" s="12" t="s">
        <v>503</v>
      </c>
      <c r="D573" s="24">
        <v>3.0085005865112002</v>
      </c>
      <c r="E573" s="3" t="s">
        <v>425</v>
      </c>
      <c r="F573" s="3" t="s">
        <v>425</v>
      </c>
    </row>
    <row r="574">
      <c r="A574" s="2">
        <v>40</v>
      </c>
      <c r="B574" s="12" t="s">
        <v>68</v>
      </c>
      <c r="C574" s="12" t="s">
        <v>802</v>
      </c>
      <c r="D574" s="24">
        <v>2.866815150764888</v>
      </c>
      <c r="E574" s="3" t="s">
        <v>425</v>
      </c>
      <c r="F574" s="3" t="s">
        <v>425</v>
      </c>
    </row>
    <row r="575">
      <c r="A575" s="2">
        <v>40</v>
      </c>
      <c r="B575" s="12" t="s">
        <v>68</v>
      </c>
      <c r="C575" s="12" t="s">
        <v>844</v>
      </c>
      <c r="D575" s="24">
        <v>2.260799738816487</v>
      </c>
      <c r="E575" s="3" t="s">
        <v>434</v>
      </c>
      <c r="F575" s="3" t="s">
        <v>425</v>
      </c>
    </row>
    <row r="576">
      <c r="A576" s="2">
        <v>40</v>
      </c>
      <c r="B576" s="12" t="s">
        <v>68</v>
      </c>
      <c r="C576" s="12" t="s">
        <v>845</v>
      </c>
      <c r="D576" s="24">
        <v>1.9659128163621629</v>
      </c>
      <c r="E576" s="3" t="s">
        <v>434</v>
      </c>
      <c r="F576" s="3" t="s">
        <v>425</v>
      </c>
    </row>
    <row r="577">
      <c r="A577" s="2">
        <v>40</v>
      </c>
      <c r="B577" s="12" t="s">
        <v>68</v>
      </c>
      <c r="C577" s="12" t="s">
        <v>846</v>
      </c>
      <c r="D577" s="24">
        <v>1.9659128163621629</v>
      </c>
      <c r="E577" s="3" t="s">
        <v>434</v>
      </c>
      <c r="F577" s="3" t="s">
        <v>425</v>
      </c>
    </row>
    <row r="578">
      <c r="A578" s="2">
        <v>40</v>
      </c>
      <c r="B578" s="12" t="s">
        <v>68</v>
      </c>
      <c r="C578" s="12" t="s">
        <v>847</v>
      </c>
      <c r="D578" s="24">
        <v>1.9659128163621629</v>
      </c>
      <c r="E578" s="3" t="s">
        <v>434</v>
      </c>
      <c r="F578" s="3" t="s">
        <v>425</v>
      </c>
    </row>
    <row r="579">
      <c r="A579" s="2">
        <v>40</v>
      </c>
      <c r="B579" s="12" t="s">
        <v>68</v>
      </c>
      <c r="C579" s="12" t="s">
        <v>848</v>
      </c>
      <c r="D579" s="24">
        <v>1.9659128163621629</v>
      </c>
      <c r="E579" s="3" t="s">
        <v>434</v>
      </c>
      <c r="F579" s="3" t="s">
        <v>425</v>
      </c>
    </row>
    <row r="580">
      <c r="A580" s="2">
        <v>40</v>
      </c>
      <c r="B580" s="12" t="s">
        <v>68</v>
      </c>
      <c r="C580" s="12" t="s">
        <v>849</v>
      </c>
      <c r="D580" s="24">
        <v>1.9659128163621629</v>
      </c>
      <c r="E580" s="3" t="s">
        <v>434</v>
      </c>
      <c r="F580" s="3" t="s">
        <v>425</v>
      </c>
    </row>
    <row r="581">
      <c r="A581" s="2">
        <v>40</v>
      </c>
      <c r="B581" s="12" t="s">
        <v>68</v>
      </c>
      <c r="C581" s="12" t="s">
        <v>850</v>
      </c>
      <c r="D581" s="24">
        <v>1.9659128163621629</v>
      </c>
      <c r="E581" s="3" t="s">
        <v>434</v>
      </c>
      <c r="F581" s="3" t="s">
        <v>425</v>
      </c>
    </row>
    <row r="582">
      <c r="A582" s="2">
        <v>40</v>
      </c>
      <c r="B582" s="12" t="s">
        <v>68</v>
      </c>
      <c r="C582" s="12" t="s">
        <v>851</v>
      </c>
      <c r="D582" s="24">
        <v>1.9659128163621629</v>
      </c>
      <c r="E582" s="3" t="s">
        <v>434</v>
      </c>
      <c r="F582" s="3" t="s">
        <v>425</v>
      </c>
    </row>
    <row r="583">
      <c r="A583" s="2">
        <v>40</v>
      </c>
      <c r="B583" s="12" t="s">
        <v>68</v>
      </c>
      <c r="C583" s="12" t="s">
        <v>852</v>
      </c>
      <c r="D583" s="24">
        <v>1.873405509362352</v>
      </c>
      <c r="E583" s="3" t="s">
        <v>434</v>
      </c>
      <c r="F583" s="3" t="s">
        <v>425</v>
      </c>
    </row>
    <row r="584">
      <c r="A584" s="2">
        <v>40</v>
      </c>
      <c r="B584" s="12" t="s">
        <v>68</v>
      </c>
      <c r="C584" s="12" t="s">
        <v>699</v>
      </c>
      <c r="D584" s="24">
        <v>1.629048269010741</v>
      </c>
      <c r="E584" s="3" t="s">
        <v>434</v>
      </c>
      <c r="F584" s="3" t="s">
        <v>425</v>
      </c>
    </row>
    <row r="585">
      <c r="A585" s="2">
        <v>41</v>
      </c>
      <c r="B585" s="12" t="s">
        <v>55</v>
      </c>
      <c r="C585" s="12" t="s">
        <v>853</v>
      </c>
      <c r="D585" s="24">
        <v>6.290921012358922</v>
      </c>
      <c r="E585" s="3" t="s">
        <v>425</v>
      </c>
      <c r="F585" s="3" t="s">
        <v>425</v>
      </c>
    </row>
    <row r="586">
      <c r="A586" s="2">
        <v>41</v>
      </c>
      <c r="B586" s="12" t="s">
        <v>55</v>
      </c>
      <c r="C586" s="12" t="s">
        <v>854</v>
      </c>
      <c r="D586" s="24">
        <v>6.290921012358922</v>
      </c>
      <c r="E586" s="3" t="s">
        <v>425</v>
      </c>
      <c r="F586" s="3" t="s">
        <v>425</v>
      </c>
    </row>
    <row r="587">
      <c r="A587" s="2">
        <v>41</v>
      </c>
      <c r="B587" s="12" t="s">
        <v>55</v>
      </c>
      <c r="C587" s="12" t="s">
        <v>855</v>
      </c>
      <c r="D587" s="24">
        <v>4.59468739981442</v>
      </c>
      <c r="E587" s="3" t="s">
        <v>425</v>
      </c>
      <c r="F587" s="3" t="s">
        <v>425</v>
      </c>
    </row>
    <row r="588">
      <c r="A588" s="2">
        <v>41</v>
      </c>
      <c r="B588" s="12" t="s">
        <v>55</v>
      </c>
      <c r="C588" s="12" t="s">
        <v>856</v>
      </c>
      <c r="D588" s="24">
        <v>4.59468739981442</v>
      </c>
      <c r="E588" s="3" t="s">
        <v>425</v>
      </c>
      <c r="F588" s="3" t="s">
        <v>425</v>
      </c>
    </row>
    <row r="589">
      <c r="A589" s="2">
        <v>41</v>
      </c>
      <c r="B589" s="12" t="s">
        <v>55</v>
      </c>
      <c r="C589" s="12" t="s">
        <v>681</v>
      </c>
      <c r="D589" s="24">
        <v>4.164303496711014</v>
      </c>
      <c r="E589" s="3" t="s">
        <v>425</v>
      </c>
      <c r="F589" s="3" t="s">
        <v>425</v>
      </c>
    </row>
    <row r="590">
      <c r="A590" s="2">
        <v>41</v>
      </c>
      <c r="B590" s="12" t="s">
        <v>55</v>
      </c>
      <c r="C590" s="12" t="s">
        <v>857</v>
      </c>
      <c r="D590" s="24">
        <v>4.164303496711014</v>
      </c>
      <c r="E590" s="3" t="s">
        <v>425</v>
      </c>
      <c r="F590" s="3" t="s">
        <v>425</v>
      </c>
    </row>
    <row r="591">
      <c r="A591" s="2">
        <v>41</v>
      </c>
      <c r="B591" s="12" t="s">
        <v>55</v>
      </c>
      <c r="C591" s="12" t="s">
        <v>503</v>
      </c>
      <c r="D591" s="24">
        <v>3.0085005865112002</v>
      </c>
      <c r="E591" s="3" t="s">
        <v>425</v>
      </c>
      <c r="F591" s="3" t="s">
        <v>425</v>
      </c>
    </row>
    <row r="592">
      <c r="A592" s="2">
        <v>41</v>
      </c>
      <c r="B592" s="12" t="s">
        <v>55</v>
      </c>
      <c r="C592" s="12" t="s">
        <v>858</v>
      </c>
      <c r="D592" s="24">
        <v>1.9659128163621629</v>
      </c>
      <c r="E592" s="3" t="s">
        <v>425</v>
      </c>
      <c r="F592" s="3" t="s">
        <v>425</v>
      </c>
    </row>
    <row r="593">
      <c r="A593" s="2">
        <v>41</v>
      </c>
      <c r="B593" s="12" t="s">
        <v>55</v>
      </c>
      <c r="C593" s="12" t="s">
        <v>859</v>
      </c>
      <c r="D593" s="24">
        <v>1.9659128163621629</v>
      </c>
      <c r="E593" s="3" t="s">
        <v>434</v>
      </c>
      <c r="F593" s="3" t="s">
        <v>425</v>
      </c>
    </row>
    <row r="594">
      <c r="A594" s="2">
        <v>41</v>
      </c>
      <c r="B594" s="12" t="s">
        <v>55</v>
      </c>
      <c r="C594" s="12" t="s">
        <v>860</v>
      </c>
      <c r="D594" s="24">
        <v>1.9659128163621629</v>
      </c>
      <c r="E594" s="3" t="s">
        <v>434</v>
      </c>
      <c r="F594" s="3" t="s">
        <v>425</v>
      </c>
    </row>
    <row r="595">
      <c r="A595" s="2">
        <v>41</v>
      </c>
      <c r="B595" s="12" t="s">
        <v>55</v>
      </c>
      <c r="C595" s="12" t="s">
        <v>861</v>
      </c>
      <c r="D595" s="24">
        <v>1.9659128163621629</v>
      </c>
      <c r="E595" s="3" t="s">
        <v>434</v>
      </c>
      <c r="F595" s="3" t="s">
        <v>425</v>
      </c>
    </row>
    <row r="596">
      <c r="A596" s="2">
        <v>41</v>
      </c>
      <c r="B596" s="12" t="s">
        <v>55</v>
      </c>
      <c r="C596" s="12" t="s">
        <v>862</v>
      </c>
      <c r="D596" s="24">
        <v>1.629048269010741</v>
      </c>
      <c r="E596" s="3" t="s">
        <v>434</v>
      </c>
      <c r="F596" s="3" t="s">
        <v>425</v>
      </c>
    </row>
    <row r="597">
      <c r="A597" s="2">
        <v>41</v>
      </c>
      <c r="B597" s="12" t="s">
        <v>55</v>
      </c>
      <c r="C597" s="12" t="s">
        <v>863</v>
      </c>
      <c r="D597" s="24">
        <v>1.629048269010741</v>
      </c>
      <c r="E597" s="3" t="s">
        <v>434</v>
      </c>
      <c r="F597" s="3" t="s">
        <v>425</v>
      </c>
    </row>
    <row r="598">
      <c r="A598" s="2">
        <v>41</v>
      </c>
      <c r="B598" s="12" t="s">
        <v>55</v>
      </c>
      <c r="C598" s="12" t="s">
        <v>864</v>
      </c>
      <c r="D598" s="24">
        <v>1.4358398124420062</v>
      </c>
      <c r="E598" s="3" t="s">
        <v>434</v>
      </c>
      <c r="F598" s="3" t="s">
        <v>425</v>
      </c>
    </row>
    <row r="599">
      <c r="A599" s="2">
        <v>41</v>
      </c>
      <c r="B599" s="12" t="s">
        <v>55</v>
      </c>
      <c r="C599" s="12" t="s">
        <v>865</v>
      </c>
      <c r="D599" s="24">
        <v>1.3013448427221919</v>
      </c>
      <c r="E599" s="3" t="s">
        <v>434</v>
      </c>
      <c r="F599" s="3" t="s">
        <v>425</v>
      </c>
    </row>
    <row r="600">
      <c r="A600" s="2">
        <v>41</v>
      </c>
      <c r="B600" s="12" t="s">
        <v>55</v>
      </c>
      <c r="C600" s="12" t="s">
        <v>599</v>
      </c>
      <c r="D600" s="24">
        <v>1.3013448427221919</v>
      </c>
      <c r="E600" s="3" t="s">
        <v>434</v>
      </c>
      <c r="F600" s="3" t="s">
        <v>425</v>
      </c>
    </row>
    <row r="601">
      <c r="A601" s="2">
        <v>41</v>
      </c>
      <c r="B601" s="12" t="s">
        <v>55</v>
      </c>
      <c r="C601" s="12" t="s">
        <v>536</v>
      </c>
      <c r="D601" s="24">
        <v>1.3013448427221919</v>
      </c>
      <c r="E601" s="3" t="s">
        <v>434</v>
      </c>
      <c r="F601" s="3" t="s">
        <v>425</v>
      </c>
    </row>
    <row r="602">
      <c r="A602" s="2">
        <v>41</v>
      </c>
      <c r="B602" s="12" t="s">
        <v>55</v>
      </c>
      <c r="C602" s="12" t="s">
        <v>555</v>
      </c>
      <c r="D602" s="24">
        <v>1.3013448427221919</v>
      </c>
      <c r="E602" s="3" t="s">
        <v>434</v>
      </c>
      <c r="F602" s="3" t="s">
        <v>425</v>
      </c>
    </row>
    <row r="603">
      <c r="A603" s="2">
        <v>42</v>
      </c>
      <c r="B603" s="12" t="s">
        <v>55</v>
      </c>
      <c r="C603" s="12" t="s">
        <v>842</v>
      </c>
      <c r="D603" s="24">
        <v>5.994897629959526</v>
      </c>
      <c r="E603" s="3" t="s">
        <v>425</v>
      </c>
      <c r="F603" s="3" t="s">
        <v>425</v>
      </c>
    </row>
    <row r="604">
      <c r="A604" s="2">
        <v>42</v>
      </c>
      <c r="B604" s="12" t="s">
        <v>55</v>
      </c>
      <c r="C604" s="12" t="s">
        <v>855</v>
      </c>
      <c r="D604" s="24">
        <v>5.283890509786583</v>
      </c>
      <c r="E604" s="3" t="s">
        <v>425</v>
      </c>
      <c r="F604" s="3" t="s">
        <v>425</v>
      </c>
    </row>
    <row r="605">
      <c r="A605" s="2">
        <v>42</v>
      </c>
      <c r="B605" s="12" t="s">
        <v>55</v>
      </c>
      <c r="C605" s="12" t="s">
        <v>843</v>
      </c>
      <c r="D605" s="24">
        <v>4.59468739981442</v>
      </c>
      <c r="E605" s="3" t="s">
        <v>425</v>
      </c>
      <c r="F605" s="3" t="s">
        <v>425</v>
      </c>
    </row>
    <row r="606">
      <c r="A606" s="2">
        <v>42</v>
      </c>
      <c r="B606" s="12" t="s">
        <v>55</v>
      </c>
      <c r="C606" s="12" t="s">
        <v>527</v>
      </c>
      <c r="D606" s="24">
        <v>3.573747554411351</v>
      </c>
      <c r="E606" s="3" t="s">
        <v>425</v>
      </c>
      <c r="F606" s="3" t="s">
        <v>425</v>
      </c>
    </row>
    <row r="607">
      <c r="A607" s="2">
        <v>42</v>
      </c>
      <c r="B607" s="12" t="s">
        <v>55</v>
      </c>
      <c r="C607" s="12" t="s">
        <v>802</v>
      </c>
      <c r="D607" s="24">
        <v>2.866815150764888</v>
      </c>
      <c r="E607" s="3" t="s">
        <v>425</v>
      </c>
      <c r="F607" s="3" t="s">
        <v>425</v>
      </c>
    </row>
    <row r="608">
      <c r="A608" s="2">
        <v>42</v>
      </c>
      <c r="B608" s="12" t="s">
        <v>55</v>
      </c>
      <c r="C608" s="12" t="s">
        <v>866</v>
      </c>
      <c r="D608" s="24">
        <v>1.9659128163621629</v>
      </c>
      <c r="E608" s="3" t="s">
        <v>425</v>
      </c>
      <c r="F608" s="3" t="s">
        <v>425</v>
      </c>
    </row>
    <row r="609">
      <c r="A609" s="2">
        <v>42</v>
      </c>
      <c r="B609" s="12" t="s">
        <v>55</v>
      </c>
      <c r="C609" s="12" t="s">
        <v>867</v>
      </c>
      <c r="D609" s="24">
        <v>1.9659128163621629</v>
      </c>
      <c r="E609" s="3" t="s">
        <v>425</v>
      </c>
      <c r="F609" s="3" t="s">
        <v>425</v>
      </c>
    </row>
    <row r="610">
      <c r="A610" s="2">
        <v>42</v>
      </c>
      <c r="B610" s="12" t="s">
        <v>55</v>
      </c>
      <c r="C610" s="12" t="s">
        <v>868</v>
      </c>
      <c r="D610" s="24">
        <v>1.9659128163621629</v>
      </c>
      <c r="E610" s="3" t="s">
        <v>425</v>
      </c>
      <c r="F610" s="3" t="s">
        <v>425</v>
      </c>
    </row>
    <row r="611">
      <c r="A611" s="2">
        <v>42</v>
      </c>
      <c r="B611" s="12" t="s">
        <v>55</v>
      </c>
      <c r="C611" s="12" t="s">
        <v>869</v>
      </c>
      <c r="D611" s="24">
        <v>1.9659128163621629</v>
      </c>
      <c r="E611" s="3" t="s">
        <v>434</v>
      </c>
      <c r="F611" s="3" t="s">
        <v>425</v>
      </c>
    </row>
    <row r="612">
      <c r="A612" s="2">
        <v>42</v>
      </c>
      <c r="B612" s="12" t="s">
        <v>55</v>
      </c>
      <c r="C612" s="12" t="s">
        <v>870</v>
      </c>
      <c r="D612" s="24">
        <v>1.9659128163621629</v>
      </c>
      <c r="E612" s="3" t="s">
        <v>434</v>
      </c>
      <c r="F612" s="3" t="s">
        <v>425</v>
      </c>
    </row>
    <row r="613">
      <c r="A613" s="2">
        <v>42</v>
      </c>
      <c r="B613" s="12" t="s">
        <v>55</v>
      </c>
      <c r="C613" s="12" t="s">
        <v>871</v>
      </c>
      <c r="D613" s="24">
        <v>1.9659128163621629</v>
      </c>
      <c r="E613" s="3" t="s">
        <v>434</v>
      </c>
      <c r="F613" s="3" t="s">
        <v>425</v>
      </c>
    </row>
    <row r="614">
      <c r="A614" s="2">
        <v>42</v>
      </c>
      <c r="B614" s="12" t="s">
        <v>55</v>
      </c>
      <c r="C614" s="12" t="s">
        <v>872</v>
      </c>
      <c r="D614" s="24">
        <v>1.9659128163621629</v>
      </c>
      <c r="E614" s="3" t="s">
        <v>434</v>
      </c>
      <c r="F614" s="3" t="s">
        <v>425</v>
      </c>
    </row>
    <row r="615">
      <c r="A615" s="2">
        <v>42</v>
      </c>
      <c r="B615" s="12" t="s">
        <v>55</v>
      </c>
      <c r="C615" s="12" t="s">
        <v>873</v>
      </c>
      <c r="D615" s="24">
        <v>1.9659128163621629</v>
      </c>
      <c r="E615" s="3" t="s">
        <v>434</v>
      </c>
      <c r="F615" s="3" t="s">
        <v>425</v>
      </c>
    </row>
    <row r="616">
      <c r="A616" s="2">
        <v>42</v>
      </c>
      <c r="B616" s="12" t="s">
        <v>55</v>
      </c>
      <c r="C616" s="12" t="s">
        <v>874</v>
      </c>
      <c r="D616" s="24">
        <v>1.9659128163621629</v>
      </c>
      <c r="E616" s="3" t="s">
        <v>434</v>
      </c>
      <c r="F616" s="3" t="s">
        <v>425</v>
      </c>
    </row>
    <row r="617">
      <c r="A617" s="2">
        <v>42</v>
      </c>
      <c r="B617" s="12" t="s">
        <v>55</v>
      </c>
      <c r="C617" s="12" t="s">
        <v>875</v>
      </c>
      <c r="D617" s="24">
        <v>1.629048269010741</v>
      </c>
      <c r="E617" s="3" t="s">
        <v>434</v>
      </c>
      <c r="F617" s="3" t="s">
        <v>425</v>
      </c>
    </row>
    <row r="618">
      <c r="A618" s="2">
        <v>42</v>
      </c>
      <c r="B618" s="12" t="s">
        <v>55</v>
      </c>
      <c r="C618" s="12" t="s">
        <v>732</v>
      </c>
      <c r="D618" s="24">
        <v>1.629048269010741</v>
      </c>
      <c r="E618" s="3" t="s">
        <v>434</v>
      </c>
      <c r="F618" s="3" t="s">
        <v>425</v>
      </c>
    </row>
    <row r="619">
      <c r="A619" s="2">
        <v>42</v>
      </c>
      <c r="B619" s="12" t="s">
        <v>55</v>
      </c>
      <c r="C619" s="12" t="s">
        <v>876</v>
      </c>
      <c r="D619" s="24">
        <v>1.629048269010741</v>
      </c>
      <c r="E619" s="3" t="s">
        <v>434</v>
      </c>
      <c r="F619" s="3" t="s">
        <v>425</v>
      </c>
    </row>
    <row r="620">
      <c r="A620" s="2">
        <v>42</v>
      </c>
      <c r="B620" s="12" t="s">
        <v>55</v>
      </c>
      <c r="C620" s="12" t="s">
        <v>877</v>
      </c>
      <c r="D620" s="24">
        <v>1.629048269010741</v>
      </c>
      <c r="E620" s="3" t="s">
        <v>434</v>
      </c>
      <c r="F620" s="3" t="s">
        <v>425</v>
      </c>
    </row>
    <row r="621">
      <c r="A621" s="2">
        <v>43</v>
      </c>
      <c r="B621" s="12" t="s">
        <v>55</v>
      </c>
      <c r="C621" s="12" t="s">
        <v>878</v>
      </c>
      <c r="D621" s="24">
        <v>6.290921012358922</v>
      </c>
      <c r="E621" s="3" t="s">
        <v>425</v>
      </c>
      <c r="F621" s="3" t="s">
        <v>434</v>
      </c>
    </row>
    <row r="622">
      <c r="A622" s="2">
        <v>43</v>
      </c>
      <c r="B622" s="12" t="s">
        <v>55</v>
      </c>
      <c r="C622" s="12" t="s">
        <v>856</v>
      </c>
      <c r="D622" s="24">
        <v>4.59468739981442</v>
      </c>
      <c r="E622" s="3" t="s">
        <v>425</v>
      </c>
      <c r="F622" s="3" t="s">
        <v>434</v>
      </c>
    </row>
    <row r="623">
      <c r="A623" s="2">
        <v>43</v>
      </c>
      <c r="B623" s="12" t="s">
        <v>55</v>
      </c>
      <c r="C623" s="12" t="s">
        <v>648</v>
      </c>
      <c r="D623" s="24">
        <v>3.836632436477393</v>
      </c>
      <c r="E623" s="3" t="s">
        <v>425</v>
      </c>
      <c r="F623" s="3" t="s">
        <v>434</v>
      </c>
    </row>
    <row r="624">
      <c r="A624" s="2">
        <v>43</v>
      </c>
      <c r="B624" s="12" t="s">
        <v>55</v>
      </c>
      <c r="C624" s="12" t="s">
        <v>834</v>
      </c>
      <c r="D624" s="24">
        <v>3.836632436477393</v>
      </c>
      <c r="E624" s="3" t="s">
        <v>425</v>
      </c>
      <c r="F624" s="3" t="s">
        <v>434</v>
      </c>
    </row>
    <row r="625">
      <c r="A625" s="2">
        <v>43</v>
      </c>
      <c r="B625" s="12" t="s">
        <v>55</v>
      </c>
      <c r="C625" s="12" t="s">
        <v>527</v>
      </c>
      <c r="D625" s="24">
        <v>3.573747554411351</v>
      </c>
      <c r="E625" s="3" t="s">
        <v>425</v>
      </c>
      <c r="F625" s="3" t="s">
        <v>434</v>
      </c>
    </row>
    <row r="626">
      <c r="A626" s="2">
        <v>43</v>
      </c>
      <c r="B626" s="12" t="s">
        <v>55</v>
      </c>
      <c r="C626" s="12" t="s">
        <v>493</v>
      </c>
      <c r="D626" s="24">
        <v>3.355425790046779</v>
      </c>
      <c r="E626" s="3" t="s">
        <v>425</v>
      </c>
      <c r="F626" s="3" t="s">
        <v>434</v>
      </c>
    </row>
    <row r="627">
      <c r="A627" s="2">
        <v>43</v>
      </c>
      <c r="B627" s="12" t="s">
        <v>55</v>
      </c>
      <c r="C627" s="12" t="s">
        <v>791</v>
      </c>
      <c r="D627" s="24">
        <v>3.0085005865112002</v>
      </c>
      <c r="E627" s="3" t="s">
        <v>425</v>
      </c>
      <c r="F627" s="3" t="s">
        <v>434</v>
      </c>
    </row>
    <row r="628">
      <c r="A628" s="2">
        <v>43</v>
      </c>
      <c r="B628" s="12" t="s">
        <v>55</v>
      </c>
      <c r="C628" s="12" t="s">
        <v>802</v>
      </c>
      <c r="D628" s="24">
        <v>2.866815150764888</v>
      </c>
      <c r="E628" s="3" t="s">
        <v>425</v>
      </c>
      <c r="F628" s="3" t="s">
        <v>434</v>
      </c>
    </row>
    <row r="629">
      <c r="A629" s="2">
        <v>43</v>
      </c>
      <c r="B629" s="12" t="s">
        <v>55</v>
      </c>
      <c r="C629" s="12" t="s">
        <v>879</v>
      </c>
      <c r="D629" s="24">
        <v>1.9659128163621629</v>
      </c>
      <c r="E629" s="3" t="s">
        <v>434</v>
      </c>
      <c r="F629" s="3" t="s">
        <v>434</v>
      </c>
    </row>
    <row r="630">
      <c r="A630" s="2">
        <v>43</v>
      </c>
      <c r="B630" s="12" t="s">
        <v>55</v>
      </c>
      <c r="C630" s="12" t="s">
        <v>880</v>
      </c>
      <c r="D630" s="24">
        <v>1.9659128163621629</v>
      </c>
      <c r="E630" s="3" t="s">
        <v>434</v>
      </c>
      <c r="F630" s="3" t="s">
        <v>434</v>
      </c>
    </row>
    <row r="631">
      <c r="A631" s="2">
        <v>43</v>
      </c>
      <c r="B631" s="12" t="s">
        <v>55</v>
      </c>
      <c r="C631" s="12" t="s">
        <v>881</v>
      </c>
      <c r="D631" s="24">
        <v>1.9659128163621629</v>
      </c>
      <c r="E631" s="3" t="s">
        <v>434</v>
      </c>
      <c r="F631" s="3" t="s">
        <v>434</v>
      </c>
    </row>
    <row r="632">
      <c r="A632" s="2">
        <v>43</v>
      </c>
      <c r="B632" s="12" t="s">
        <v>55</v>
      </c>
      <c r="C632" s="12" t="s">
        <v>882</v>
      </c>
      <c r="D632" s="24">
        <v>1.9659128163621629</v>
      </c>
      <c r="E632" s="3" t="s">
        <v>434</v>
      </c>
      <c r="F632" s="3" t="s">
        <v>434</v>
      </c>
    </row>
    <row r="633">
      <c r="A633" s="2">
        <v>43</v>
      </c>
      <c r="B633" s="12" t="s">
        <v>55</v>
      </c>
      <c r="C633" s="12" t="s">
        <v>883</v>
      </c>
      <c r="D633" s="24">
        <v>1.9659128163621629</v>
      </c>
      <c r="E633" s="3" t="s">
        <v>434</v>
      </c>
      <c r="F633" s="3" t="s">
        <v>434</v>
      </c>
    </row>
    <row r="634">
      <c r="A634" s="2">
        <v>43</v>
      </c>
      <c r="B634" s="12" t="s">
        <v>55</v>
      </c>
      <c r="C634" s="12" t="s">
        <v>884</v>
      </c>
      <c r="D634" s="24">
        <v>1.629048269010741</v>
      </c>
      <c r="E634" s="3" t="s">
        <v>434</v>
      </c>
      <c r="F634" s="3" t="s">
        <v>434</v>
      </c>
    </row>
    <row r="635">
      <c r="A635" s="2">
        <v>43</v>
      </c>
      <c r="B635" s="12" t="s">
        <v>55</v>
      </c>
      <c r="C635" s="12" t="s">
        <v>885</v>
      </c>
      <c r="D635" s="24">
        <v>1.629048269010741</v>
      </c>
      <c r="E635" s="3" t="s">
        <v>434</v>
      </c>
      <c r="F635" s="3" t="s">
        <v>434</v>
      </c>
    </row>
    <row r="636">
      <c r="A636" s="2">
        <v>43</v>
      </c>
      <c r="B636" s="12" t="s">
        <v>55</v>
      </c>
      <c r="C636" s="12" t="s">
        <v>576</v>
      </c>
      <c r="D636" s="24">
        <v>1.4358398124420062</v>
      </c>
      <c r="E636" s="3" t="s">
        <v>434</v>
      </c>
      <c r="F636" s="3" t="s">
        <v>434</v>
      </c>
    </row>
    <row r="637">
      <c r="A637" s="2">
        <v>43</v>
      </c>
      <c r="B637" s="12" t="s">
        <v>55</v>
      </c>
      <c r="C637" s="12" t="s">
        <v>646</v>
      </c>
      <c r="D637" s="24">
        <v>1.3013448427221919</v>
      </c>
      <c r="E637" s="3" t="s">
        <v>434</v>
      </c>
      <c r="F637" s="3" t="s">
        <v>434</v>
      </c>
    </row>
    <row r="638">
      <c r="A638" s="2">
        <v>43</v>
      </c>
      <c r="B638" s="12" t="s">
        <v>55</v>
      </c>
      <c r="C638" s="12" t="s">
        <v>443</v>
      </c>
      <c r="D638" s="24">
        <v>1.1989476363991853</v>
      </c>
      <c r="E638" s="3" t="s">
        <v>434</v>
      </c>
      <c r="F638" s="3" t="s">
        <v>434</v>
      </c>
    </row>
    <row r="639">
      <c r="A639" s="2">
        <v>44</v>
      </c>
      <c r="B639" s="12" t="s">
        <v>72</v>
      </c>
      <c r="C639" s="12" t="s">
        <v>886</v>
      </c>
      <c r="D639" s="24">
        <v>6.290921012358922</v>
      </c>
      <c r="E639" s="3" t="s">
        <v>425</v>
      </c>
      <c r="F639" s="3" t="s">
        <v>425</v>
      </c>
    </row>
    <row r="640">
      <c r="A640" s="2">
        <v>44</v>
      </c>
      <c r="B640" s="12" t="s">
        <v>72</v>
      </c>
      <c r="C640" s="12" t="s">
        <v>887</v>
      </c>
      <c r="D640" s="24">
        <v>6.290921012358922</v>
      </c>
      <c r="E640" s="3" t="s">
        <v>425</v>
      </c>
      <c r="F640" s="3" t="s">
        <v>425</v>
      </c>
    </row>
    <row r="641">
      <c r="A641" s="2">
        <v>44</v>
      </c>
      <c r="B641" s="12" t="s">
        <v>72</v>
      </c>
      <c r="C641" s="12" t="s">
        <v>888</v>
      </c>
      <c r="D641" s="24">
        <v>5.212954460834371</v>
      </c>
      <c r="E641" s="3" t="s">
        <v>425</v>
      </c>
      <c r="F641" s="3" t="s">
        <v>425</v>
      </c>
    </row>
    <row r="642">
      <c r="A642" s="2">
        <v>44</v>
      </c>
      <c r="B642" s="12" t="s">
        <v>72</v>
      </c>
      <c r="C642" s="12" t="s">
        <v>889</v>
      </c>
      <c r="D642" s="24">
        <v>4.59468739981442</v>
      </c>
      <c r="E642" s="3" t="s">
        <v>425</v>
      </c>
      <c r="F642" s="3" t="s">
        <v>425</v>
      </c>
    </row>
    <row r="643">
      <c r="A643" s="2">
        <v>44</v>
      </c>
      <c r="B643" s="12" t="s">
        <v>72</v>
      </c>
      <c r="C643" s="12" t="s">
        <v>890</v>
      </c>
      <c r="D643" s="24">
        <v>4.59468739981442</v>
      </c>
      <c r="E643" s="3" t="s">
        <v>425</v>
      </c>
      <c r="F643" s="3" t="s">
        <v>425</v>
      </c>
    </row>
    <row r="644">
      <c r="A644" s="2">
        <v>44</v>
      </c>
      <c r="B644" s="12" t="s">
        <v>72</v>
      </c>
      <c r="C644" s="12" t="s">
        <v>826</v>
      </c>
      <c r="D644" s="24">
        <v>4.164303496711014</v>
      </c>
      <c r="E644" s="3" t="s">
        <v>425</v>
      </c>
      <c r="F644" s="3" t="s">
        <v>434</v>
      </c>
    </row>
    <row r="645">
      <c r="A645" s="2">
        <v>44</v>
      </c>
      <c r="B645" s="12" t="s">
        <v>72</v>
      </c>
      <c r="C645" s="12" t="s">
        <v>782</v>
      </c>
      <c r="D645" s="24">
        <v>3.836632436477393</v>
      </c>
      <c r="E645" s="3" t="s">
        <v>425</v>
      </c>
      <c r="F645" s="3" t="s">
        <v>425</v>
      </c>
    </row>
    <row r="646">
      <c r="A646" s="2">
        <v>44</v>
      </c>
      <c r="B646" s="12" t="s">
        <v>72</v>
      </c>
      <c r="C646" s="12" t="s">
        <v>834</v>
      </c>
      <c r="D646" s="24">
        <v>3.836632436477393</v>
      </c>
      <c r="E646" s="3" t="s">
        <v>434</v>
      </c>
      <c r="F646" s="3" t="s">
        <v>425</v>
      </c>
    </row>
    <row r="647">
      <c r="A647" s="2">
        <v>44</v>
      </c>
      <c r="B647" s="12" t="s">
        <v>72</v>
      </c>
      <c r="C647" s="12" t="s">
        <v>503</v>
      </c>
      <c r="D647" s="24">
        <v>3.45977567448788</v>
      </c>
      <c r="E647" s="3" t="s">
        <v>434</v>
      </c>
      <c r="F647" s="3" t="s">
        <v>425</v>
      </c>
    </row>
    <row r="648">
      <c r="A648" s="2">
        <v>44</v>
      </c>
      <c r="B648" s="12" t="s">
        <v>72</v>
      </c>
      <c r="C648" s="12" t="s">
        <v>891</v>
      </c>
      <c r="D648" s="24">
        <v>1.9659128163621629</v>
      </c>
      <c r="E648" s="3" t="s">
        <v>434</v>
      </c>
      <c r="F648" s="3" t="s">
        <v>425</v>
      </c>
    </row>
    <row r="649">
      <c r="A649" s="2">
        <v>44</v>
      </c>
      <c r="B649" s="12" t="s">
        <v>72</v>
      </c>
      <c r="C649" s="12" t="s">
        <v>892</v>
      </c>
      <c r="D649" s="24">
        <v>1.9659128163621629</v>
      </c>
      <c r="E649" s="3" t="s">
        <v>434</v>
      </c>
      <c r="F649" s="3" t="s">
        <v>425</v>
      </c>
    </row>
    <row r="650">
      <c r="A650" s="2">
        <v>44</v>
      </c>
      <c r="B650" s="12" t="s">
        <v>72</v>
      </c>
      <c r="C650" s="12" t="s">
        <v>893</v>
      </c>
      <c r="D650" s="24">
        <v>1.9659128163621629</v>
      </c>
      <c r="E650" s="3" t="s">
        <v>434</v>
      </c>
      <c r="F650" s="3" t="s">
        <v>425</v>
      </c>
    </row>
    <row r="651">
      <c r="A651" s="2">
        <v>44</v>
      </c>
      <c r="B651" s="12" t="s">
        <v>72</v>
      </c>
      <c r="C651" s="12" t="s">
        <v>894</v>
      </c>
      <c r="D651" s="24">
        <v>1.9659128163621629</v>
      </c>
      <c r="E651" s="3" t="s">
        <v>434</v>
      </c>
      <c r="F651" s="3" t="s">
        <v>425</v>
      </c>
    </row>
    <row r="652">
      <c r="A652" s="2">
        <v>44</v>
      </c>
      <c r="B652" s="12" t="s">
        <v>72</v>
      </c>
      <c r="C652" s="12" t="s">
        <v>895</v>
      </c>
      <c r="D652" s="24">
        <v>1.9659128163621629</v>
      </c>
      <c r="E652" s="3" t="s">
        <v>434</v>
      </c>
      <c r="F652" s="3" t="s">
        <v>425</v>
      </c>
    </row>
    <row r="653">
      <c r="A653" s="2">
        <v>44</v>
      </c>
      <c r="B653" s="12" t="s">
        <v>72</v>
      </c>
      <c r="C653" s="12" t="s">
        <v>896</v>
      </c>
      <c r="D653" s="24">
        <v>1.629048269010741</v>
      </c>
      <c r="E653" s="3" t="s">
        <v>434</v>
      </c>
      <c r="F653" s="3" t="s">
        <v>425</v>
      </c>
    </row>
    <row r="654">
      <c r="A654" s="2">
        <v>44</v>
      </c>
      <c r="B654" s="12" t="s">
        <v>72</v>
      </c>
      <c r="C654" s="12" t="s">
        <v>897</v>
      </c>
      <c r="D654" s="24">
        <v>1.629048269010741</v>
      </c>
      <c r="E654" s="3" t="s">
        <v>434</v>
      </c>
      <c r="F654" s="3" t="s">
        <v>425</v>
      </c>
    </row>
    <row r="655">
      <c r="A655" s="2">
        <v>44</v>
      </c>
      <c r="B655" s="12" t="s">
        <v>72</v>
      </c>
      <c r="C655" s="12" t="s">
        <v>733</v>
      </c>
      <c r="D655" s="24">
        <v>1.4358398124420062</v>
      </c>
      <c r="E655" s="3" t="s">
        <v>434</v>
      </c>
      <c r="F655" s="3" t="s">
        <v>425</v>
      </c>
    </row>
    <row r="656">
      <c r="A656" s="2">
        <v>45</v>
      </c>
      <c r="B656" s="12" t="s">
        <v>73</v>
      </c>
      <c r="C656" s="12" t="s">
        <v>898</v>
      </c>
      <c r="D656" s="24">
        <v>7.23455916421276</v>
      </c>
      <c r="E656" s="3" t="s">
        <v>425</v>
      </c>
      <c r="F656" s="3" t="s">
        <v>425</v>
      </c>
    </row>
    <row r="657">
      <c r="A657" s="2">
        <v>45</v>
      </c>
      <c r="B657" s="12" t="s">
        <v>73</v>
      </c>
      <c r="C657" s="12" t="s">
        <v>899</v>
      </c>
      <c r="D657" s="24">
        <v>6.290921012358922</v>
      </c>
      <c r="E657" s="3" t="s">
        <v>425</v>
      </c>
      <c r="F657" s="3" t="s">
        <v>425</v>
      </c>
    </row>
    <row r="658">
      <c r="A658" s="2">
        <v>45</v>
      </c>
      <c r="B658" s="12" t="s">
        <v>73</v>
      </c>
      <c r="C658" s="12" t="s">
        <v>900</v>
      </c>
      <c r="D658" s="24">
        <v>6.290921012358922</v>
      </c>
      <c r="E658" s="3" t="s">
        <v>425</v>
      </c>
      <c r="F658" s="3" t="s">
        <v>425</v>
      </c>
    </row>
    <row r="659">
      <c r="A659" s="2">
        <v>45</v>
      </c>
      <c r="B659" s="12" t="s">
        <v>73</v>
      </c>
      <c r="C659" s="12" t="s">
        <v>901</v>
      </c>
      <c r="D659" s="24">
        <v>6.290921012358922</v>
      </c>
      <c r="E659" s="3" t="s">
        <v>425</v>
      </c>
      <c r="F659" s="3" t="s">
        <v>425</v>
      </c>
    </row>
    <row r="660">
      <c r="A660" s="2">
        <v>45</v>
      </c>
      <c r="B660" s="12" t="s">
        <v>73</v>
      </c>
      <c r="C660" s="12" t="s">
        <v>902</v>
      </c>
      <c r="D660" s="24">
        <v>6.290921012358922</v>
      </c>
      <c r="E660" s="3" t="s">
        <v>425</v>
      </c>
      <c r="F660" s="3" t="s">
        <v>425</v>
      </c>
    </row>
    <row r="661">
      <c r="A661" s="2">
        <v>45</v>
      </c>
      <c r="B661" s="12" t="s">
        <v>73</v>
      </c>
      <c r="C661" s="12" t="s">
        <v>903</v>
      </c>
      <c r="D661" s="24">
        <v>5.212954460834371</v>
      </c>
      <c r="E661" s="3" t="s">
        <v>425</v>
      </c>
      <c r="F661" s="3" t="s">
        <v>425</v>
      </c>
    </row>
    <row r="662">
      <c r="A662" s="2">
        <v>45</v>
      </c>
      <c r="B662" s="12" t="s">
        <v>73</v>
      </c>
      <c r="C662" s="12" t="s">
        <v>603</v>
      </c>
      <c r="D662" s="24">
        <v>3.573747554411351</v>
      </c>
      <c r="E662" s="3" t="s">
        <v>425</v>
      </c>
      <c r="F662" s="3" t="s">
        <v>425</v>
      </c>
    </row>
    <row r="663">
      <c r="A663" s="2">
        <v>45</v>
      </c>
      <c r="B663" s="12" t="s">
        <v>73</v>
      </c>
      <c r="C663" s="12" t="s">
        <v>904</v>
      </c>
      <c r="D663" s="24">
        <v>1.9659128163621629</v>
      </c>
      <c r="E663" s="3" t="s">
        <v>425</v>
      </c>
      <c r="F663" s="3" t="s">
        <v>425</v>
      </c>
    </row>
    <row r="664">
      <c r="A664" s="2">
        <v>45</v>
      </c>
      <c r="B664" s="12" t="s">
        <v>73</v>
      </c>
      <c r="C664" s="12" t="s">
        <v>905</v>
      </c>
      <c r="D664" s="24">
        <v>1.9659128163621629</v>
      </c>
      <c r="E664" s="3" t="s">
        <v>434</v>
      </c>
      <c r="F664" s="3" t="s">
        <v>425</v>
      </c>
    </row>
    <row r="665">
      <c r="A665" s="2">
        <v>45</v>
      </c>
      <c r="B665" s="12" t="s">
        <v>73</v>
      </c>
      <c r="C665" s="12" t="s">
        <v>906</v>
      </c>
      <c r="D665" s="24">
        <v>1.9659128163621629</v>
      </c>
      <c r="E665" s="3" t="s">
        <v>434</v>
      </c>
      <c r="F665" s="3" t="s">
        <v>425</v>
      </c>
    </row>
    <row r="666">
      <c r="A666" s="2">
        <v>45</v>
      </c>
      <c r="B666" s="12" t="s">
        <v>73</v>
      </c>
      <c r="C666" s="12" t="s">
        <v>907</v>
      </c>
      <c r="D666" s="24">
        <v>1.9659128163621629</v>
      </c>
      <c r="E666" s="3" t="s">
        <v>434</v>
      </c>
      <c r="F666" s="3" t="s">
        <v>425</v>
      </c>
    </row>
    <row r="667">
      <c r="A667" s="2">
        <v>45</v>
      </c>
      <c r="B667" s="12" t="s">
        <v>73</v>
      </c>
      <c r="C667" s="12" t="s">
        <v>908</v>
      </c>
      <c r="D667" s="24">
        <v>1.9659128163621629</v>
      </c>
      <c r="E667" s="3" t="s">
        <v>434</v>
      </c>
      <c r="F667" s="3" t="s">
        <v>425</v>
      </c>
    </row>
    <row r="668">
      <c r="A668" s="2">
        <v>45</v>
      </c>
      <c r="B668" s="12" t="s">
        <v>73</v>
      </c>
      <c r="C668" s="12" t="s">
        <v>823</v>
      </c>
      <c r="D668" s="24">
        <v>1.651215784308307</v>
      </c>
      <c r="E668" s="3" t="s">
        <v>434</v>
      </c>
      <c r="F668" s="3" t="s">
        <v>425</v>
      </c>
    </row>
    <row r="669">
      <c r="A669" s="2">
        <v>45</v>
      </c>
      <c r="B669" s="12" t="s">
        <v>73</v>
      </c>
      <c r="C669" s="12" t="s">
        <v>909</v>
      </c>
      <c r="D669" s="24">
        <v>1.629048269010741</v>
      </c>
      <c r="E669" s="3" t="s">
        <v>434</v>
      </c>
      <c r="F669" s="3" t="s">
        <v>425</v>
      </c>
    </row>
    <row r="670">
      <c r="A670" s="2">
        <v>45</v>
      </c>
      <c r="B670" s="12" t="s">
        <v>73</v>
      </c>
      <c r="C670" s="12" t="s">
        <v>700</v>
      </c>
      <c r="D670" s="24">
        <v>1.629048269010741</v>
      </c>
      <c r="E670" s="3" t="s">
        <v>434</v>
      </c>
      <c r="F670" s="3" t="s">
        <v>425</v>
      </c>
    </row>
    <row r="671">
      <c r="A671" s="2">
        <v>45</v>
      </c>
      <c r="B671" s="12" t="s">
        <v>73</v>
      </c>
      <c r="C671" s="12" t="s">
        <v>731</v>
      </c>
      <c r="D671" s="24">
        <v>1.629048269010741</v>
      </c>
      <c r="E671" s="3" t="s">
        <v>434</v>
      </c>
      <c r="F671" s="3" t="s">
        <v>425</v>
      </c>
    </row>
    <row r="672">
      <c r="A672" s="2">
        <v>45</v>
      </c>
      <c r="B672" s="12" t="s">
        <v>73</v>
      </c>
      <c r="C672" s="12" t="s">
        <v>910</v>
      </c>
      <c r="D672" s="24">
        <v>1.629048269010741</v>
      </c>
      <c r="E672" s="3" t="s">
        <v>434</v>
      </c>
      <c r="F672" s="3" t="s">
        <v>425</v>
      </c>
    </row>
    <row r="673">
      <c r="A673" s="2">
        <v>45</v>
      </c>
      <c r="B673" s="12" t="s">
        <v>73</v>
      </c>
      <c r="C673" s="12" t="s">
        <v>911</v>
      </c>
      <c r="D673" s="24">
        <v>1.629048269010741</v>
      </c>
      <c r="E673" s="3" t="s">
        <v>434</v>
      </c>
      <c r="F673" s="3" t="s">
        <v>425</v>
      </c>
    </row>
    <row r="674">
      <c r="A674" s="2">
        <v>46</v>
      </c>
      <c r="B674" s="12" t="s">
        <v>68</v>
      </c>
      <c r="C674" s="12" t="s">
        <v>912</v>
      </c>
      <c r="D674" s="24">
        <v>6.290921012358922</v>
      </c>
      <c r="E674" s="3" t="s">
        <v>425</v>
      </c>
      <c r="F674" s="3" t="s">
        <v>425</v>
      </c>
    </row>
    <row r="675">
      <c r="A675" s="2">
        <v>46</v>
      </c>
      <c r="B675" s="12" t="s">
        <v>68</v>
      </c>
      <c r="C675" s="12" t="s">
        <v>913</v>
      </c>
      <c r="D675" s="24">
        <v>6.290921012358922</v>
      </c>
      <c r="E675" s="3" t="s">
        <v>425</v>
      </c>
      <c r="F675" s="3" t="s">
        <v>425</v>
      </c>
    </row>
    <row r="676">
      <c r="A676" s="2">
        <v>46</v>
      </c>
      <c r="B676" s="12" t="s">
        <v>68</v>
      </c>
      <c r="C676" s="12" t="s">
        <v>914</v>
      </c>
      <c r="D676" s="24">
        <v>5.212954460834371</v>
      </c>
      <c r="E676" s="3" t="s">
        <v>425</v>
      </c>
      <c r="F676" s="3" t="s">
        <v>425</v>
      </c>
    </row>
    <row r="677">
      <c r="A677" s="2">
        <v>46</v>
      </c>
      <c r="B677" s="12" t="s">
        <v>68</v>
      </c>
      <c r="C677" s="12" t="s">
        <v>737</v>
      </c>
      <c r="D677" s="24">
        <v>3.836632436477393</v>
      </c>
      <c r="E677" s="3" t="s">
        <v>425</v>
      </c>
      <c r="F677" s="3" t="s">
        <v>425</v>
      </c>
    </row>
    <row r="678">
      <c r="A678" s="2">
        <v>46</v>
      </c>
      <c r="B678" s="12" t="s">
        <v>68</v>
      </c>
      <c r="C678" s="12" t="s">
        <v>915</v>
      </c>
      <c r="D678" s="24">
        <v>1.9659128163621629</v>
      </c>
      <c r="E678" s="3" t="s">
        <v>425</v>
      </c>
      <c r="F678" s="3" t="s">
        <v>425</v>
      </c>
    </row>
    <row r="679">
      <c r="A679" s="2">
        <v>46</v>
      </c>
      <c r="B679" s="12" t="s">
        <v>68</v>
      </c>
      <c r="C679" s="12" t="s">
        <v>916</v>
      </c>
      <c r="D679" s="24">
        <v>1.9659128163621629</v>
      </c>
      <c r="E679" s="3" t="s">
        <v>425</v>
      </c>
      <c r="F679" s="3" t="s">
        <v>425</v>
      </c>
    </row>
    <row r="680">
      <c r="A680" s="2">
        <v>46</v>
      </c>
      <c r="B680" s="12" t="s">
        <v>68</v>
      </c>
      <c r="C680" s="12" t="s">
        <v>917</v>
      </c>
      <c r="D680" s="24">
        <v>1.9659128163621629</v>
      </c>
      <c r="E680" s="3" t="s">
        <v>425</v>
      </c>
      <c r="F680" s="3" t="s">
        <v>425</v>
      </c>
    </row>
    <row r="681">
      <c r="A681" s="2">
        <v>46</v>
      </c>
      <c r="B681" s="12" t="s">
        <v>68</v>
      </c>
      <c r="C681" s="12" t="s">
        <v>918</v>
      </c>
      <c r="D681" s="24">
        <v>1.9659128163621629</v>
      </c>
      <c r="E681" s="3" t="s">
        <v>425</v>
      </c>
      <c r="F681" s="3" t="s">
        <v>425</v>
      </c>
    </row>
    <row r="682">
      <c r="A682" s="2">
        <v>46</v>
      </c>
      <c r="B682" s="12" t="s">
        <v>68</v>
      </c>
      <c r="C682" s="12" t="s">
        <v>919</v>
      </c>
      <c r="D682" s="24">
        <v>1.9659128163621629</v>
      </c>
      <c r="E682" s="3" t="s">
        <v>434</v>
      </c>
      <c r="F682" s="3" t="s">
        <v>425</v>
      </c>
    </row>
    <row r="683">
      <c r="A683" s="2">
        <v>46</v>
      </c>
      <c r="B683" s="12" t="s">
        <v>68</v>
      </c>
      <c r="C683" s="12" t="s">
        <v>828</v>
      </c>
      <c r="D683" s="24">
        <v>1.629048269010741</v>
      </c>
      <c r="E683" s="3" t="s">
        <v>434</v>
      </c>
      <c r="F683" s="3" t="s">
        <v>425</v>
      </c>
    </row>
    <row r="684">
      <c r="A684" s="2">
        <v>46</v>
      </c>
      <c r="B684" s="12" t="s">
        <v>68</v>
      </c>
      <c r="C684" s="12" t="s">
        <v>920</v>
      </c>
      <c r="D684" s="24">
        <v>1.629048269010741</v>
      </c>
      <c r="E684" s="3" t="s">
        <v>434</v>
      </c>
      <c r="F684" s="3" t="s">
        <v>425</v>
      </c>
    </row>
    <row r="685">
      <c r="A685" s="2">
        <v>46</v>
      </c>
      <c r="B685" s="12" t="s">
        <v>68</v>
      </c>
      <c r="C685" s="12" t="s">
        <v>921</v>
      </c>
      <c r="D685" s="24">
        <v>1.4358398124420062</v>
      </c>
      <c r="E685" s="3" t="s">
        <v>434</v>
      </c>
      <c r="F685" s="3" t="s">
        <v>425</v>
      </c>
    </row>
    <row r="686">
      <c r="A686" s="2">
        <v>46</v>
      </c>
      <c r="B686" s="12" t="s">
        <v>68</v>
      </c>
      <c r="C686" s="12" t="s">
        <v>645</v>
      </c>
      <c r="D686" s="24">
        <v>1.4358398124420062</v>
      </c>
      <c r="E686" s="3" t="s">
        <v>434</v>
      </c>
      <c r="F686" s="3" t="s">
        <v>425</v>
      </c>
    </row>
    <row r="687">
      <c r="A687" s="2">
        <v>46</v>
      </c>
      <c r="B687" s="12" t="s">
        <v>68</v>
      </c>
      <c r="C687" s="12" t="s">
        <v>687</v>
      </c>
      <c r="D687" s="24">
        <v>1.4358398124420062</v>
      </c>
      <c r="E687" s="3" t="s">
        <v>434</v>
      </c>
      <c r="F687" s="3" t="s">
        <v>425</v>
      </c>
    </row>
    <row r="688">
      <c r="A688" s="2">
        <v>46</v>
      </c>
      <c r="B688" s="12" t="s">
        <v>68</v>
      </c>
      <c r="C688" s="12" t="s">
        <v>922</v>
      </c>
      <c r="D688" s="24">
        <v>1.3013448427221919</v>
      </c>
      <c r="E688" s="3" t="s">
        <v>434</v>
      </c>
      <c r="F688" s="3" t="s">
        <v>425</v>
      </c>
    </row>
    <row r="689">
      <c r="A689" s="2">
        <v>46</v>
      </c>
      <c r="B689" s="12" t="s">
        <v>68</v>
      </c>
      <c r="C689" s="12" t="s">
        <v>520</v>
      </c>
      <c r="D689" s="24">
        <v>1.3013448427221919</v>
      </c>
      <c r="E689" s="3" t="s">
        <v>434</v>
      </c>
      <c r="F689" s="3" t="s">
        <v>425</v>
      </c>
    </row>
    <row r="690">
      <c r="A690" s="2">
        <v>46</v>
      </c>
      <c r="B690" s="12" t="s">
        <v>68</v>
      </c>
      <c r="C690" s="12" t="s">
        <v>555</v>
      </c>
      <c r="D690" s="24">
        <v>1.3013448427221919</v>
      </c>
      <c r="E690" s="3" t="s">
        <v>434</v>
      </c>
      <c r="F690" s="3" t="s">
        <v>425</v>
      </c>
    </row>
    <row r="691">
      <c r="A691" s="2">
        <v>46</v>
      </c>
      <c r="B691" s="12" t="s">
        <v>68</v>
      </c>
      <c r="C691" s="12" t="s">
        <v>923</v>
      </c>
      <c r="D691" s="24">
        <v>1.1989476363991853</v>
      </c>
      <c r="E691" s="3" t="s">
        <v>434</v>
      </c>
      <c r="F691" s="3" t="s">
        <v>425</v>
      </c>
    </row>
    <row r="692">
      <c r="A692" s="2">
        <v>47</v>
      </c>
      <c r="B692" s="12" t="s">
        <v>70</v>
      </c>
      <c r="C692" s="12" t="s">
        <v>924</v>
      </c>
      <c r="D692" s="24">
        <v>6.290921012358922</v>
      </c>
      <c r="E692" s="3" t="s">
        <v>425</v>
      </c>
      <c r="F692" s="3" t="s">
        <v>425</v>
      </c>
    </row>
    <row r="693">
      <c r="A693" s="2">
        <v>47</v>
      </c>
      <c r="B693" s="12" t="s">
        <v>70</v>
      </c>
      <c r="C693" s="12" t="s">
        <v>925</v>
      </c>
      <c r="D693" s="24">
        <v>6.290921012358922</v>
      </c>
      <c r="E693" s="3" t="s">
        <v>425</v>
      </c>
      <c r="F693" s="3" t="s">
        <v>425</v>
      </c>
    </row>
    <row r="694">
      <c r="A694" s="2">
        <v>47</v>
      </c>
      <c r="B694" s="12" t="s">
        <v>70</v>
      </c>
      <c r="C694" s="12" t="s">
        <v>737</v>
      </c>
      <c r="D694" s="24">
        <v>3.836632436477393</v>
      </c>
      <c r="E694" s="3" t="s">
        <v>425</v>
      </c>
      <c r="F694" s="3" t="s">
        <v>425</v>
      </c>
    </row>
    <row r="695">
      <c r="A695" s="2">
        <v>47</v>
      </c>
      <c r="B695" s="12" t="s">
        <v>70</v>
      </c>
      <c r="C695" s="12" t="s">
        <v>755</v>
      </c>
      <c r="D695" s="24">
        <v>3.1696023501865334</v>
      </c>
      <c r="E695" s="3" t="s">
        <v>425</v>
      </c>
      <c r="F695" s="3" t="s">
        <v>425</v>
      </c>
    </row>
    <row r="696">
      <c r="A696" s="2">
        <v>47</v>
      </c>
      <c r="B696" s="12" t="s">
        <v>70</v>
      </c>
      <c r="C696" s="12" t="s">
        <v>926</v>
      </c>
      <c r="D696" s="24">
        <v>2.260799738816487</v>
      </c>
      <c r="E696" s="3" t="s">
        <v>425</v>
      </c>
      <c r="F696" s="3" t="s">
        <v>425</v>
      </c>
    </row>
    <row r="697">
      <c r="A697" s="2">
        <v>47</v>
      </c>
      <c r="B697" s="12" t="s">
        <v>70</v>
      </c>
      <c r="C697" s="12" t="s">
        <v>927</v>
      </c>
      <c r="D697" s="24">
        <v>1.9659128163621629</v>
      </c>
      <c r="E697" s="3" t="s">
        <v>425</v>
      </c>
      <c r="F697" s="3" t="s">
        <v>425</v>
      </c>
    </row>
    <row r="698">
      <c r="A698" s="2">
        <v>47</v>
      </c>
      <c r="B698" s="12" t="s">
        <v>70</v>
      </c>
      <c r="C698" s="12" t="s">
        <v>928</v>
      </c>
      <c r="D698" s="24">
        <v>1.9659128163621629</v>
      </c>
      <c r="E698" s="3" t="s">
        <v>425</v>
      </c>
      <c r="F698" s="3" t="s">
        <v>425</v>
      </c>
    </row>
    <row r="699">
      <c r="A699" s="2">
        <v>47</v>
      </c>
      <c r="B699" s="12" t="s">
        <v>70</v>
      </c>
      <c r="C699" s="12" t="s">
        <v>929</v>
      </c>
      <c r="D699" s="24">
        <v>1.9659128163621629</v>
      </c>
      <c r="E699" s="3" t="s">
        <v>425</v>
      </c>
      <c r="F699" s="3" t="s">
        <v>425</v>
      </c>
    </row>
    <row r="700">
      <c r="A700" s="2">
        <v>47</v>
      </c>
      <c r="B700" s="12" t="s">
        <v>70</v>
      </c>
      <c r="C700" s="12" t="s">
        <v>930</v>
      </c>
      <c r="D700" s="24">
        <v>1.9659128163621629</v>
      </c>
      <c r="E700" s="3" t="s">
        <v>434</v>
      </c>
      <c r="F700" s="3" t="s">
        <v>425</v>
      </c>
    </row>
    <row r="701">
      <c r="A701" s="2">
        <v>47</v>
      </c>
      <c r="B701" s="12" t="s">
        <v>70</v>
      </c>
      <c r="C701" s="12" t="s">
        <v>931</v>
      </c>
      <c r="D701" s="24">
        <v>1.9659128163621629</v>
      </c>
      <c r="E701" s="3" t="s">
        <v>434</v>
      </c>
      <c r="F701" s="3" t="s">
        <v>425</v>
      </c>
    </row>
    <row r="702">
      <c r="A702" s="2">
        <v>47</v>
      </c>
      <c r="B702" s="12" t="s">
        <v>70</v>
      </c>
      <c r="C702" s="12" t="s">
        <v>932</v>
      </c>
      <c r="D702" s="24">
        <v>1.9659128163621629</v>
      </c>
      <c r="E702" s="3" t="s">
        <v>434</v>
      </c>
      <c r="F702" s="3" t="s">
        <v>425</v>
      </c>
    </row>
    <row r="703">
      <c r="A703" s="2">
        <v>47</v>
      </c>
      <c r="B703" s="12" t="s">
        <v>70</v>
      </c>
      <c r="C703" s="12" t="s">
        <v>933</v>
      </c>
      <c r="D703" s="24">
        <v>1.9659128163621629</v>
      </c>
      <c r="E703" s="3" t="s">
        <v>434</v>
      </c>
      <c r="F703" s="3" t="s">
        <v>425</v>
      </c>
    </row>
    <row r="704">
      <c r="A704" s="2">
        <v>47</v>
      </c>
      <c r="B704" s="12" t="s">
        <v>70</v>
      </c>
      <c r="C704" s="12" t="s">
        <v>934</v>
      </c>
      <c r="D704" s="24">
        <v>1.9659128163621629</v>
      </c>
      <c r="E704" s="3" t="s">
        <v>434</v>
      </c>
      <c r="F704" s="3" t="s">
        <v>425</v>
      </c>
    </row>
    <row r="705">
      <c r="A705" s="2">
        <v>47</v>
      </c>
      <c r="B705" s="12" t="s">
        <v>70</v>
      </c>
      <c r="C705" s="12" t="s">
        <v>541</v>
      </c>
      <c r="D705" s="24">
        <v>1.629048269010741</v>
      </c>
      <c r="E705" s="3" t="s">
        <v>434</v>
      </c>
      <c r="F705" s="3" t="s">
        <v>425</v>
      </c>
    </row>
    <row r="706">
      <c r="A706" s="2">
        <v>47</v>
      </c>
      <c r="B706" s="12" t="s">
        <v>70</v>
      </c>
      <c r="C706" s="12" t="s">
        <v>935</v>
      </c>
      <c r="D706" s="24">
        <v>1.629048269010741</v>
      </c>
      <c r="E706" s="3" t="s">
        <v>434</v>
      </c>
      <c r="F706" s="3" t="s">
        <v>425</v>
      </c>
    </row>
    <row r="707">
      <c r="A707" s="2">
        <v>47</v>
      </c>
      <c r="B707" s="12" t="s">
        <v>70</v>
      </c>
      <c r="C707" s="12" t="s">
        <v>720</v>
      </c>
      <c r="D707" s="24">
        <v>1.629048269010741</v>
      </c>
      <c r="E707" s="3" t="s">
        <v>434</v>
      </c>
      <c r="F707" s="3" t="s">
        <v>425</v>
      </c>
    </row>
    <row r="708">
      <c r="A708" s="2">
        <v>47</v>
      </c>
      <c r="B708" s="12" t="s">
        <v>70</v>
      </c>
      <c r="C708" s="12" t="s">
        <v>876</v>
      </c>
      <c r="D708" s="24">
        <v>1.629048269010741</v>
      </c>
      <c r="E708" s="3" t="s">
        <v>434</v>
      </c>
      <c r="F708" s="3" t="s">
        <v>425</v>
      </c>
    </row>
    <row r="709">
      <c r="A709" s="2">
        <v>47</v>
      </c>
      <c r="B709" s="12" t="s">
        <v>70</v>
      </c>
      <c r="C709" s="12" t="s">
        <v>936</v>
      </c>
      <c r="D709" s="24">
        <v>1.4358398124420062</v>
      </c>
      <c r="E709" s="3" t="s">
        <v>434</v>
      </c>
      <c r="F709" s="3" t="s">
        <v>425</v>
      </c>
    </row>
    <row r="710">
      <c r="A710" s="2">
        <v>48</v>
      </c>
      <c r="B710" s="12" t="s">
        <v>49</v>
      </c>
      <c r="C710" s="12" t="s">
        <v>937</v>
      </c>
      <c r="D710" s="24">
        <v>6.290921012358922</v>
      </c>
      <c r="E710" s="3" t="s">
        <v>425</v>
      </c>
      <c r="F710" s="3" t="s">
        <v>434</v>
      </c>
    </row>
    <row r="711">
      <c r="A711" s="2">
        <v>48</v>
      </c>
      <c r="B711" s="12" t="s">
        <v>49</v>
      </c>
      <c r="C711" s="12" t="s">
        <v>938</v>
      </c>
      <c r="D711" s="24">
        <v>6.290921012358922</v>
      </c>
      <c r="E711" s="3" t="s">
        <v>425</v>
      </c>
      <c r="F711" s="3" t="s">
        <v>434</v>
      </c>
    </row>
    <row r="712">
      <c r="A712" s="2">
        <v>48</v>
      </c>
      <c r="B712" s="12" t="s">
        <v>49</v>
      </c>
      <c r="C712" s="12" t="s">
        <v>813</v>
      </c>
      <c r="D712" s="24">
        <v>5.212954460834371</v>
      </c>
      <c r="E712" s="3" t="s">
        <v>425</v>
      </c>
      <c r="F712" s="3" t="s">
        <v>434</v>
      </c>
    </row>
    <row r="713">
      <c r="A713" s="2">
        <v>48</v>
      </c>
      <c r="B713" s="12" t="s">
        <v>49</v>
      </c>
      <c r="C713" s="12" t="s">
        <v>815</v>
      </c>
      <c r="D713" s="24">
        <v>5.212954460834371</v>
      </c>
      <c r="E713" s="3" t="s">
        <v>425</v>
      </c>
      <c r="F713" s="3" t="s">
        <v>434</v>
      </c>
    </row>
    <row r="714">
      <c r="A714" s="2">
        <v>48</v>
      </c>
      <c r="B714" s="12" t="s">
        <v>49</v>
      </c>
      <c r="C714" s="12" t="s">
        <v>857</v>
      </c>
      <c r="D714" s="24">
        <v>4.7889490212176655</v>
      </c>
      <c r="E714" s="3" t="s">
        <v>425</v>
      </c>
      <c r="F714" s="3" t="s">
        <v>434</v>
      </c>
    </row>
    <row r="715">
      <c r="A715" s="2">
        <v>48</v>
      </c>
      <c r="B715" s="12" t="s">
        <v>49</v>
      </c>
      <c r="C715" s="12" t="s">
        <v>704</v>
      </c>
      <c r="D715" s="24">
        <v>4.164303496711014</v>
      </c>
      <c r="E715" s="3" t="s">
        <v>425</v>
      </c>
      <c r="F715" s="3" t="s">
        <v>434</v>
      </c>
    </row>
    <row r="716">
      <c r="A716" s="2">
        <v>48</v>
      </c>
      <c r="B716" s="12" t="s">
        <v>49</v>
      </c>
      <c r="C716" s="12" t="s">
        <v>939</v>
      </c>
      <c r="D716" s="24">
        <v>3.836632436477393</v>
      </c>
      <c r="E716" s="3" t="s">
        <v>425</v>
      </c>
      <c r="F716" s="3" t="s">
        <v>434</v>
      </c>
    </row>
    <row r="717">
      <c r="A717" s="2">
        <v>48</v>
      </c>
      <c r="B717" s="12" t="s">
        <v>49</v>
      </c>
      <c r="C717" s="12" t="s">
        <v>834</v>
      </c>
      <c r="D717" s="24">
        <v>3.836632436477393</v>
      </c>
      <c r="E717" s="3" t="s">
        <v>425</v>
      </c>
      <c r="F717" s="3" t="s">
        <v>434</v>
      </c>
    </row>
    <row r="718">
      <c r="A718" s="2">
        <v>48</v>
      </c>
      <c r="B718" s="12" t="s">
        <v>49</v>
      </c>
      <c r="C718" s="12" t="s">
        <v>603</v>
      </c>
      <c r="D718" s="24">
        <v>3.573747554411351</v>
      </c>
      <c r="E718" s="3" t="s">
        <v>434</v>
      </c>
      <c r="F718" s="3" t="s">
        <v>434</v>
      </c>
    </row>
    <row r="719">
      <c r="A719" s="2">
        <v>48</v>
      </c>
      <c r="B719" s="12" t="s">
        <v>49</v>
      </c>
      <c r="C719" s="12" t="s">
        <v>791</v>
      </c>
      <c r="D719" s="24">
        <v>3.0085005865112002</v>
      </c>
      <c r="E719" s="3" t="s">
        <v>434</v>
      </c>
      <c r="F719" s="3" t="s">
        <v>434</v>
      </c>
    </row>
    <row r="720">
      <c r="A720" s="2">
        <v>48</v>
      </c>
      <c r="B720" s="12" t="s">
        <v>49</v>
      </c>
      <c r="C720" s="12" t="s">
        <v>940</v>
      </c>
      <c r="D720" s="24">
        <v>1.9659128163621629</v>
      </c>
      <c r="E720" s="3" t="s">
        <v>434</v>
      </c>
      <c r="F720" s="3" t="s">
        <v>434</v>
      </c>
    </row>
    <row r="721">
      <c r="A721" s="2">
        <v>48</v>
      </c>
      <c r="B721" s="12" t="s">
        <v>49</v>
      </c>
      <c r="C721" s="12" t="s">
        <v>941</v>
      </c>
      <c r="D721" s="24">
        <v>1.9659128163621629</v>
      </c>
      <c r="E721" s="3" t="s">
        <v>434</v>
      </c>
      <c r="F721" s="3" t="s">
        <v>434</v>
      </c>
    </row>
    <row r="722">
      <c r="A722" s="2">
        <v>48</v>
      </c>
      <c r="B722" s="12" t="s">
        <v>49</v>
      </c>
      <c r="C722" s="12" t="s">
        <v>942</v>
      </c>
      <c r="D722" s="24">
        <v>1.9659128163621629</v>
      </c>
      <c r="E722" s="3" t="s">
        <v>434</v>
      </c>
      <c r="F722" s="3" t="s">
        <v>434</v>
      </c>
    </row>
    <row r="723">
      <c r="A723" s="2">
        <v>48</v>
      </c>
      <c r="B723" s="12" t="s">
        <v>49</v>
      </c>
      <c r="C723" s="12" t="s">
        <v>943</v>
      </c>
      <c r="D723" s="24">
        <v>1.9659128163621629</v>
      </c>
      <c r="E723" s="3" t="s">
        <v>434</v>
      </c>
      <c r="F723" s="3" t="s">
        <v>434</v>
      </c>
    </row>
    <row r="724">
      <c r="A724" s="2">
        <v>48</v>
      </c>
      <c r="B724" s="12" t="s">
        <v>49</v>
      </c>
      <c r="C724" s="12" t="s">
        <v>944</v>
      </c>
      <c r="D724" s="24">
        <v>1.9659128163621629</v>
      </c>
      <c r="E724" s="3" t="s">
        <v>434</v>
      </c>
      <c r="F724" s="3" t="s">
        <v>434</v>
      </c>
    </row>
    <row r="725">
      <c r="A725" s="2">
        <v>48</v>
      </c>
      <c r="B725" s="12" t="s">
        <v>49</v>
      </c>
      <c r="C725" s="12" t="s">
        <v>945</v>
      </c>
      <c r="D725" s="24">
        <v>1.9659128163621629</v>
      </c>
      <c r="E725" s="3" t="s">
        <v>434</v>
      </c>
      <c r="F725" s="3" t="s">
        <v>434</v>
      </c>
    </row>
    <row r="726">
      <c r="A726" s="2">
        <v>48</v>
      </c>
      <c r="B726" s="12" t="s">
        <v>49</v>
      </c>
      <c r="C726" s="12" t="s">
        <v>946</v>
      </c>
      <c r="D726" s="24">
        <v>1.9659128163621629</v>
      </c>
      <c r="E726" s="3" t="s">
        <v>434</v>
      </c>
      <c r="F726" s="3" t="s">
        <v>434</v>
      </c>
    </row>
    <row r="727">
      <c r="A727" s="2">
        <v>48</v>
      </c>
      <c r="B727" s="12" t="s">
        <v>49</v>
      </c>
      <c r="C727" s="12" t="s">
        <v>742</v>
      </c>
      <c r="D727" s="24">
        <v>1.873405509362352</v>
      </c>
      <c r="E727" s="3" t="s">
        <v>434</v>
      </c>
      <c r="F727" s="3" t="s">
        <v>434</v>
      </c>
    </row>
    <row r="728">
      <c r="A728" s="2">
        <v>49</v>
      </c>
      <c r="B728" s="12" t="s">
        <v>67</v>
      </c>
      <c r="C728" s="12" t="s">
        <v>889</v>
      </c>
      <c r="D728" s="24">
        <v>4.59468739981442</v>
      </c>
      <c r="E728" s="3" t="s">
        <v>425</v>
      </c>
      <c r="F728" s="3" t="s">
        <v>425</v>
      </c>
    </row>
    <row r="729">
      <c r="A729" s="2">
        <v>49</v>
      </c>
      <c r="B729" s="12" t="s">
        <v>67</v>
      </c>
      <c r="C729" s="12" t="s">
        <v>947</v>
      </c>
      <c r="D729" s="24">
        <v>4.59468739981442</v>
      </c>
      <c r="E729" s="3" t="s">
        <v>425</v>
      </c>
      <c r="F729" s="3" t="s">
        <v>425</v>
      </c>
    </row>
    <row r="730">
      <c r="A730" s="2">
        <v>49</v>
      </c>
      <c r="B730" s="12" t="s">
        <v>67</v>
      </c>
      <c r="C730" s="12" t="s">
        <v>706</v>
      </c>
      <c r="D730" s="24">
        <v>4.412127301949002</v>
      </c>
      <c r="E730" s="3" t="s">
        <v>425</v>
      </c>
      <c r="F730" s="3" t="s">
        <v>425</v>
      </c>
    </row>
    <row r="731">
      <c r="A731" s="2">
        <v>49</v>
      </c>
      <c r="B731" s="12" t="s">
        <v>67</v>
      </c>
      <c r="C731" s="12" t="s">
        <v>782</v>
      </c>
      <c r="D731" s="24">
        <v>3.836632436477393</v>
      </c>
      <c r="E731" s="3" t="s">
        <v>425</v>
      </c>
      <c r="F731" s="3" t="s">
        <v>425</v>
      </c>
    </row>
    <row r="732">
      <c r="A732" s="2">
        <v>49</v>
      </c>
      <c r="B732" s="12" t="s">
        <v>67</v>
      </c>
      <c r="C732" s="12" t="s">
        <v>755</v>
      </c>
      <c r="D732" s="24">
        <v>3.1696023501865334</v>
      </c>
      <c r="E732" s="3" t="s">
        <v>425</v>
      </c>
      <c r="F732" s="3" t="s">
        <v>434</v>
      </c>
    </row>
    <row r="733">
      <c r="A733" s="2">
        <v>49</v>
      </c>
      <c r="B733" s="12" t="s">
        <v>67</v>
      </c>
      <c r="C733" s="12" t="s">
        <v>791</v>
      </c>
      <c r="D733" s="24">
        <v>3.0085005865112002</v>
      </c>
      <c r="E733" s="3" t="s">
        <v>425</v>
      </c>
      <c r="F733" s="3" t="s">
        <v>425</v>
      </c>
    </row>
    <row r="734">
      <c r="A734" s="2">
        <v>49</v>
      </c>
      <c r="B734" s="12" t="s">
        <v>67</v>
      </c>
      <c r="C734" s="12" t="s">
        <v>948</v>
      </c>
      <c r="D734" s="24">
        <v>1.9659128163621629</v>
      </c>
      <c r="E734" s="3" t="s">
        <v>425</v>
      </c>
      <c r="F734" s="3" t="s">
        <v>425</v>
      </c>
    </row>
    <row r="735">
      <c r="A735" s="2">
        <v>49</v>
      </c>
      <c r="B735" s="12" t="s">
        <v>67</v>
      </c>
      <c r="C735" s="12" t="s">
        <v>949</v>
      </c>
      <c r="D735" s="24">
        <v>1.9659128163621629</v>
      </c>
      <c r="E735" s="3" t="s">
        <v>425</v>
      </c>
      <c r="F735" s="3" t="s">
        <v>425</v>
      </c>
    </row>
    <row r="736">
      <c r="A736" s="2">
        <v>49</v>
      </c>
      <c r="B736" s="12" t="s">
        <v>67</v>
      </c>
      <c r="C736" s="12" t="s">
        <v>950</v>
      </c>
      <c r="D736" s="24">
        <v>1.9659128163621629</v>
      </c>
      <c r="E736" s="3" t="s">
        <v>434</v>
      </c>
      <c r="F736" s="3" t="s">
        <v>425</v>
      </c>
    </row>
    <row r="737">
      <c r="A737" s="2">
        <v>49</v>
      </c>
      <c r="B737" s="12" t="s">
        <v>67</v>
      </c>
      <c r="C737" s="12" t="s">
        <v>951</v>
      </c>
      <c r="D737" s="24">
        <v>1.9659128163621629</v>
      </c>
      <c r="E737" s="3" t="s">
        <v>434</v>
      </c>
      <c r="F737" s="3" t="s">
        <v>425</v>
      </c>
    </row>
    <row r="738">
      <c r="A738" s="2">
        <v>49</v>
      </c>
      <c r="B738" s="12" t="s">
        <v>67</v>
      </c>
      <c r="C738" s="12" t="s">
        <v>952</v>
      </c>
      <c r="D738" s="24">
        <v>1.9659128163621629</v>
      </c>
      <c r="E738" s="3" t="s">
        <v>434</v>
      </c>
      <c r="F738" s="3" t="s">
        <v>425</v>
      </c>
    </row>
    <row r="739">
      <c r="A739" s="2">
        <v>49</v>
      </c>
      <c r="B739" s="12" t="s">
        <v>67</v>
      </c>
      <c r="C739" s="12" t="s">
        <v>953</v>
      </c>
      <c r="D739" s="24">
        <v>1.9659128163621629</v>
      </c>
      <c r="E739" s="3" t="s">
        <v>434</v>
      </c>
      <c r="F739" s="3" t="s">
        <v>425</v>
      </c>
    </row>
    <row r="740">
      <c r="A740" s="2">
        <v>49</v>
      </c>
      <c r="B740" s="12" t="s">
        <v>67</v>
      </c>
      <c r="C740" s="12" t="s">
        <v>620</v>
      </c>
      <c r="D740" s="24">
        <v>1.873405509362352</v>
      </c>
      <c r="E740" s="3" t="s">
        <v>434</v>
      </c>
      <c r="F740" s="3" t="s">
        <v>425</v>
      </c>
    </row>
    <row r="741">
      <c r="A741" s="2">
        <v>49</v>
      </c>
      <c r="B741" s="12" t="s">
        <v>67</v>
      </c>
      <c r="C741" s="12" t="s">
        <v>954</v>
      </c>
      <c r="D741" s="24">
        <v>1.873405509362352</v>
      </c>
      <c r="E741" s="3" t="s">
        <v>434</v>
      </c>
      <c r="F741" s="3" t="s">
        <v>425</v>
      </c>
    </row>
    <row r="742">
      <c r="A742" s="2">
        <v>49</v>
      </c>
      <c r="B742" s="12" t="s">
        <v>67</v>
      </c>
      <c r="C742" s="12" t="s">
        <v>955</v>
      </c>
      <c r="D742" s="24">
        <v>1.629048269010741</v>
      </c>
      <c r="E742" s="3" t="s">
        <v>434</v>
      </c>
      <c r="F742" s="3" t="s">
        <v>425</v>
      </c>
    </row>
    <row r="743">
      <c r="A743" s="2">
        <v>49</v>
      </c>
      <c r="B743" s="12" t="s">
        <v>67</v>
      </c>
      <c r="C743" s="12" t="s">
        <v>590</v>
      </c>
      <c r="D743" s="24">
        <v>1.629048269010741</v>
      </c>
      <c r="E743" s="3" t="s">
        <v>434</v>
      </c>
      <c r="F743" s="3" t="s">
        <v>425</v>
      </c>
    </row>
    <row r="744">
      <c r="A744" s="2">
        <v>49</v>
      </c>
      <c r="B744" s="12" t="s">
        <v>67</v>
      </c>
      <c r="C744" s="12" t="s">
        <v>639</v>
      </c>
      <c r="D744" s="24">
        <v>1.629048269010741</v>
      </c>
      <c r="E744" s="3" t="s">
        <v>434</v>
      </c>
      <c r="F744" s="3" t="s">
        <v>434</v>
      </c>
    </row>
    <row r="745">
      <c r="A745" s="2">
        <v>49</v>
      </c>
      <c r="B745" s="12" t="s">
        <v>67</v>
      </c>
      <c r="C745" s="12" t="s">
        <v>863</v>
      </c>
      <c r="D745" s="24">
        <v>1.629048269010741</v>
      </c>
      <c r="E745" s="3" t="s">
        <v>434</v>
      </c>
      <c r="F745" s="3" t="s">
        <v>425</v>
      </c>
    </row>
    <row r="746">
      <c r="A746" s="2">
        <v>50</v>
      </c>
      <c r="B746" s="12" t="s">
        <v>64</v>
      </c>
      <c r="C746" s="12" t="s">
        <v>956</v>
      </c>
      <c r="D746" s="24">
        <v>7.23455916421276</v>
      </c>
      <c r="E746" s="3" t="s">
        <v>425</v>
      </c>
      <c r="F746" s="3" t="s">
        <v>425</v>
      </c>
    </row>
    <row r="747">
      <c r="A747" s="2">
        <v>50</v>
      </c>
      <c r="B747" s="12" t="s">
        <v>64</v>
      </c>
      <c r="C747" s="12" t="s">
        <v>890</v>
      </c>
      <c r="D747" s="24">
        <v>5.283890509786583</v>
      </c>
      <c r="E747" s="3" t="s">
        <v>425</v>
      </c>
      <c r="F747" s="3" t="s">
        <v>425</v>
      </c>
    </row>
    <row r="748">
      <c r="A748" s="2">
        <v>50</v>
      </c>
      <c r="B748" s="12" t="s">
        <v>64</v>
      </c>
      <c r="C748" s="12" t="s">
        <v>16</v>
      </c>
      <c r="D748" s="24">
        <v>5.212954460834371</v>
      </c>
      <c r="E748" s="3" t="s">
        <v>425</v>
      </c>
      <c r="F748" s="3" t="s">
        <v>425</v>
      </c>
    </row>
    <row r="749">
      <c r="A749" s="2">
        <v>50</v>
      </c>
      <c r="B749" s="12" t="s">
        <v>64</v>
      </c>
      <c r="C749" s="12" t="s">
        <v>947</v>
      </c>
      <c r="D749" s="24">
        <v>4.59468739981442</v>
      </c>
      <c r="E749" s="3" t="s">
        <v>425</v>
      </c>
      <c r="F749" s="3" t="s">
        <v>425</v>
      </c>
    </row>
    <row r="750">
      <c r="A750" s="2">
        <v>50</v>
      </c>
      <c r="B750" s="12" t="s">
        <v>64</v>
      </c>
      <c r="C750" s="12" t="s">
        <v>737</v>
      </c>
      <c r="D750" s="24">
        <v>3.836632436477393</v>
      </c>
      <c r="E750" s="3" t="s">
        <v>425</v>
      </c>
      <c r="F750" s="3" t="s">
        <v>425</v>
      </c>
    </row>
    <row r="751">
      <c r="A751" s="2">
        <v>50</v>
      </c>
      <c r="B751" s="12" t="s">
        <v>64</v>
      </c>
      <c r="C751" s="12" t="s">
        <v>957</v>
      </c>
      <c r="D751" s="24">
        <v>1.9659128163621629</v>
      </c>
      <c r="E751" s="3" t="s">
        <v>425</v>
      </c>
      <c r="F751" s="3" t="s">
        <v>425</v>
      </c>
    </row>
    <row r="752">
      <c r="A752" s="2">
        <v>50</v>
      </c>
      <c r="B752" s="12" t="s">
        <v>64</v>
      </c>
      <c r="C752" s="12" t="s">
        <v>958</v>
      </c>
      <c r="D752" s="24">
        <v>1.9659128163621629</v>
      </c>
      <c r="E752" s="3" t="s">
        <v>425</v>
      </c>
      <c r="F752" s="3" t="s">
        <v>425</v>
      </c>
    </row>
    <row r="753">
      <c r="A753" s="2">
        <v>50</v>
      </c>
      <c r="B753" s="12" t="s">
        <v>64</v>
      </c>
      <c r="C753" s="12" t="s">
        <v>959</v>
      </c>
      <c r="D753" s="24">
        <v>1.9659128163621629</v>
      </c>
      <c r="E753" s="3" t="s">
        <v>425</v>
      </c>
      <c r="F753" s="3" t="s">
        <v>425</v>
      </c>
    </row>
    <row r="754">
      <c r="A754" s="2">
        <v>50</v>
      </c>
      <c r="B754" s="12" t="s">
        <v>64</v>
      </c>
      <c r="C754" s="12" t="s">
        <v>960</v>
      </c>
      <c r="D754" s="24">
        <v>1.9659128163621629</v>
      </c>
      <c r="E754" s="3" t="s">
        <v>434</v>
      </c>
      <c r="F754" s="3" t="s">
        <v>425</v>
      </c>
    </row>
    <row r="755">
      <c r="A755" s="2">
        <v>50</v>
      </c>
      <c r="B755" s="12" t="s">
        <v>64</v>
      </c>
      <c r="C755" s="12" t="s">
        <v>961</v>
      </c>
      <c r="D755" s="24">
        <v>1.9659128163621629</v>
      </c>
      <c r="E755" s="3" t="s">
        <v>434</v>
      </c>
      <c r="F755" s="3" t="s">
        <v>425</v>
      </c>
    </row>
    <row r="756">
      <c r="A756" s="2">
        <v>50</v>
      </c>
      <c r="B756" s="12" t="s">
        <v>64</v>
      </c>
      <c r="C756" s="12" t="s">
        <v>962</v>
      </c>
      <c r="D756" s="24">
        <v>1.9659128163621629</v>
      </c>
      <c r="E756" s="3" t="s">
        <v>434</v>
      </c>
      <c r="F756" s="3" t="s">
        <v>425</v>
      </c>
    </row>
    <row r="757">
      <c r="A757" s="2">
        <v>50</v>
      </c>
      <c r="B757" s="12" t="s">
        <v>64</v>
      </c>
      <c r="C757" s="12" t="s">
        <v>963</v>
      </c>
      <c r="D757" s="24">
        <v>1.9659128163621629</v>
      </c>
      <c r="E757" s="3" t="s">
        <v>434</v>
      </c>
      <c r="F757" s="3" t="s">
        <v>425</v>
      </c>
    </row>
    <row r="758">
      <c r="A758" s="2">
        <v>50</v>
      </c>
      <c r="B758" s="12" t="s">
        <v>64</v>
      </c>
      <c r="C758" s="12" t="s">
        <v>964</v>
      </c>
      <c r="D758" s="24">
        <v>1.9659128163621629</v>
      </c>
      <c r="E758" s="3" t="s">
        <v>434</v>
      </c>
      <c r="F758" s="3" t="s">
        <v>425</v>
      </c>
    </row>
    <row r="759">
      <c r="A759" s="2">
        <v>50</v>
      </c>
      <c r="B759" s="12" t="s">
        <v>64</v>
      </c>
      <c r="C759" s="12" t="s">
        <v>965</v>
      </c>
      <c r="D759" s="24">
        <v>1.629048269010741</v>
      </c>
      <c r="E759" s="3" t="s">
        <v>434</v>
      </c>
      <c r="F759" s="3" t="s">
        <v>425</v>
      </c>
    </row>
    <row r="760">
      <c r="A760" s="2">
        <v>50</v>
      </c>
      <c r="B760" s="12" t="s">
        <v>64</v>
      </c>
      <c r="C760" s="12" t="s">
        <v>966</v>
      </c>
      <c r="D760" s="24">
        <v>1.629048269010741</v>
      </c>
      <c r="E760" s="3" t="s">
        <v>434</v>
      </c>
      <c r="F760" s="3" t="s">
        <v>425</v>
      </c>
    </row>
    <row r="761">
      <c r="A761" s="2">
        <v>50</v>
      </c>
      <c r="B761" s="12" t="s">
        <v>64</v>
      </c>
      <c r="C761" s="12" t="s">
        <v>967</v>
      </c>
      <c r="D761" s="24">
        <v>1.629048269010741</v>
      </c>
      <c r="E761" s="3" t="s">
        <v>434</v>
      </c>
      <c r="F761" s="3" t="s">
        <v>425</v>
      </c>
    </row>
    <row r="762">
      <c r="A762" s="2">
        <v>50</v>
      </c>
      <c r="B762" s="12" t="s">
        <v>64</v>
      </c>
      <c r="C762" s="12" t="s">
        <v>500</v>
      </c>
      <c r="D762" s="24">
        <v>1.4358398124420062</v>
      </c>
      <c r="E762" s="3" t="s">
        <v>434</v>
      </c>
      <c r="F762" s="3" t="s">
        <v>425</v>
      </c>
    </row>
    <row r="763">
      <c r="A763" s="2">
        <v>50</v>
      </c>
      <c r="B763" s="12" t="s">
        <v>64</v>
      </c>
      <c r="C763" s="12" t="s">
        <v>968</v>
      </c>
      <c r="D763" s="24">
        <v>1.4358398124420062</v>
      </c>
      <c r="E763" s="3" t="s">
        <v>434</v>
      </c>
      <c r="F763" s="3" t="s">
        <v>425</v>
      </c>
    </row>
  </sheetData>
  <autoFilter ref="A1:F763"/>
  <conditionalFormatting sqref="F2:F763">
    <cfRule type="cellIs" dxfId="0" priority="1" operator="equal">
      <formula>"Да"</formula>
    </cfRule>
  </conditionalFormatting>
  <conditionalFormatting sqref="F2:F763">
    <cfRule type="cellIs" dxfId="1" priority="2" operator="equal">
      <formula>"Нет"</formula>
    </cfRule>
  </conditionalFormatting>
  <conditionalFormatting sqref="E2:E763">
    <cfRule type="cellIs" dxfId="2" priority="3" operator="equal">
      <formula>"Да"</formula>
    </cfRule>
  </conditionalFormatting>
  <pageMargins left="0.5" right="0.5" top="0.6" bottom="0.6" header="0.3" footer="0.3"/>
  <pageSetup paperSize="9" orientation="landscape" fitToHeight="0"/>
</worksheet>
</file>

<file path=xl/worksheets/sheet5.xml><?xml version="1.0" encoding="utf-8"?>
<worksheet xmlns="http://schemas.openxmlformats.org/spreadsheetml/2006/main" xmlns:r="http://schemas.openxmlformats.org/officeDocument/2006/relationships">
  <sheetPr>
    <tabColor rgb="FF7030A0"/>
    <pageSetUpPr fitToPage="1"/>
  </sheetPr>
  <dimension ref="A1:G51"/>
  <sheetViews>
    <sheetView workbookViewId="0">
      <pane ySplit="1" topLeftCell="A2" activePane="bottomLeft" state="frozen"/>
      <selection pane="bottomLeft"/>
    </sheetView>
  </sheetViews>
  <sheetFormatPr defaultRowHeight="15"/>
  <cols>
    <col min="1" max="1" width="5.71" customWidth="1"/>
    <col min="2" max="2" width="11.71" customWidth="1"/>
    <col min="3" max="3" width="16.71" customWidth="1"/>
    <col min="4" max="4" width="40.71" customWidth="1"/>
    <col min="5" max="5" width="70.71" customWidth="1"/>
    <col min="6" max="6" width="40.71" customWidth="1"/>
    <col min="7" max="7" width="70.71" customWidth="1"/>
  </cols>
  <sheetData>
    <row r="1" ht="34" customHeight="1">
      <c r="A1" s="1" t="s">
        <v>75</v>
      </c>
      <c r="B1" s="1" t="s">
        <v>31</v>
      </c>
      <c r="C1" s="1" t="s">
        <v>48</v>
      </c>
      <c r="D1" s="1" t="s">
        <v>76</v>
      </c>
      <c r="E1" s="1" t="s">
        <v>969</v>
      </c>
      <c r="F1" s="1" t="s">
        <v>970</v>
      </c>
      <c r="G1" s="1" t="s">
        <v>971</v>
      </c>
    </row>
    <row r="2" ht="114" customHeight="1">
      <c r="A2" s="2">
        <v>1</v>
      </c>
      <c r="B2" s="3" t="s">
        <v>35</v>
      </c>
      <c r="C2" s="4" t="s">
        <v>57</v>
      </c>
      <c r="D2" s="4" t="s">
        <v>89</v>
      </c>
      <c r="E2" s="4" t="s">
        <v>972</v>
      </c>
      <c r="F2" s="4" t="s">
        <v>973</v>
      </c>
      <c r="G2" s="4" t="s">
        <v>974</v>
      </c>
    </row>
    <row r="3" ht="114" customHeight="1">
      <c r="A3" s="2">
        <v>2</v>
      </c>
      <c r="B3" s="3" t="s">
        <v>35</v>
      </c>
      <c r="C3" s="4" t="s">
        <v>57</v>
      </c>
      <c r="D3" s="4" t="s">
        <v>95</v>
      </c>
      <c r="E3" s="4" t="s">
        <v>975</v>
      </c>
      <c r="F3" s="4" t="s">
        <v>976</v>
      </c>
      <c r="G3" s="4" t="s">
        <v>977</v>
      </c>
    </row>
    <row r="4" ht="100.5" customHeight="1">
      <c r="A4" s="2">
        <v>3</v>
      </c>
      <c r="B4" s="3" t="s">
        <v>35</v>
      </c>
      <c r="C4" s="4" t="s">
        <v>50</v>
      </c>
      <c r="D4" s="4" t="s">
        <v>101</v>
      </c>
      <c r="E4" s="4" t="s">
        <v>978</v>
      </c>
      <c r="F4" s="4" t="s">
        <v>979</v>
      </c>
      <c r="G4" s="4" t="s">
        <v>980</v>
      </c>
    </row>
    <row r="5" ht="87" customHeight="1">
      <c r="A5" s="2">
        <v>4</v>
      </c>
      <c r="B5" s="3" t="s">
        <v>35</v>
      </c>
      <c r="C5" s="4" t="s">
        <v>57</v>
      </c>
      <c r="D5" s="4" t="s">
        <v>105</v>
      </c>
      <c r="E5" s="4" t="s">
        <v>981</v>
      </c>
      <c r="F5" s="4" t="s">
        <v>982</v>
      </c>
      <c r="G5" s="4" t="s">
        <v>983</v>
      </c>
    </row>
    <row r="6" ht="127.5" customHeight="1">
      <c r="A6" s="2">
        <v>5</v>
      </c>
      <c r="B6" s="3" t="s">
        <v>35</v>
      </c>
      <c r="C6" s="4" t="s">
        <v>60</v>
      </c>
      <c r="D6" s="4" t="s">
        <v>112</v>
      </c>
      <c r="E6" s="4" t="s">
        <v>984</v>
      </c>
      <c r="F6" s="4" t="s">
        <v>985</v>
      </c>
      <c r="G6" s="4" t="s">
        <v>986</v>
      </c>
    </row>
    <row r="7" ht="87" customHeight="1">
      <c r="A7" s="2">
        <v>6</v>
      </c>
      <c r="B7" s="3" t="s">
        <v>35</v>
      </c>
      <c r="C7" s="4" t="s">
        <v>62</v>
      </c>
      <c r="D7" s="4" t="s">
        <v>116</v>
      </c>
      <c r="E7" s="4" t="s">
        <v>987</v>
      </c>
      <c r="F7" s="4" t="s">
        <v>988</v>
      </c>
      <c r="G7" s="4" t="s">
        <v>989</v>
      </c>
    </row>
    <row r="8" ht="114" customHeight="1">
      <c r="A8" s="2">
        <v>7</v>
      </c>
      <c r="B8" s="3" t="s">
        <v>35</v>
      </c>
      <c r="C8" s="4" t="s">
        <v>57</v>
      </c>
      <c r="D8" s="4" t="s">
        <v>121</v>
      </c>
      <c r="E8" s="4" t="s">
        <v>990</v>
      </c>
      <c r="F8" s="4" t="s">
        <v>991</v>
      </c>
      <c r="G8" s="4" t="s">
        <v>992</v>
      </c>
    </row>
    <row r="9" ht="100.5" customHeight="1">
      <c r="A9" s="2">
        <v>8</v>
      </c>
      <c r="B9" s="3" t="s">
        <v>35</v>
      </c>
      <c r="C9" s="4" t="s">
        <v>56</v>
      </c>
      <c r="D9" s="4" t="s">
        <v>127</v>
      </c>
      <c r="E9" s="4" t="s">
        <v>993</v>
      </c>
      <c r="F9" s="4" t="s">
        <v>994</v>
      </c>
      <c r="G9" s="4" t="s">
        <v>995</v>
      </c>
    </row>
    <row r="10" ht="114" customHeight="1">
      <c r="A10" s="2">
        <v>9</v>
      </c>
      <c r="B10" s="3" t="s">
        <v>35</v>
      </c>
      <c r="C10" s="4" t="s">
        <v>56</v>
      </c>
      <c r="D10" s="4" t="s">
        <v>130</v>
      </c>
      <c r="E10" s="4" t="s">
        <v>996</v>
      </c>
      <c r="F10" s="4" t="s">
        <v>997</v>
      </c>
      <c r="G10" s="4" t="s">
        <v>998</v>
      </c>
    </row>
    <row r="11" ht="73.5" customHeight="1">
      <c r="A11" s="2">
        <v>10</v>
      </c>
      <c r="B11" s="3" t="s">
        <v>35</v>
      </c>
      <c r="C11" s="4" t="s">
        <v>65</v>
      </c>
      <c r="D11" s="4" t="s">
        <v>135</v>
      </c>
      <c r="E11" s="4" t="s">
        <v>999</v>
      </c>
      <c r="F11" s="4" t="s">
        <v>1000</v>
      </c>
      <c r="G11" s="4" t="s">
        <v>1001</v>
      </c>
    </row>
    <row r="12" ht="73.5" customHeight="1">
      <c r="A12" s="2">
        <v>11</v>
      </c>
      <c r="B12" s="3" t="s">
        <v>35</v>
      </c>
      <c r="C12" s="4" t="s">
        <v>54</v>
      </c>
      <c r="D12" s="4" t="s">
        <v>140</v>
      </c>
      <c r="E12" s="4" t="s">
        <v>1002</v>
      </c>
      <c r="F12" s="4" t="s">
        <v>1003</v>
      </c>
      <c r="G12" s="4" t="s">
        <v>1004</v>
      </c>
    </row>
    <row r="13" ht="73.5" customHeight="1">
      <c r="A13" s="2">
        <v>12</v>
      </c>
      <c r="B13" s="3" t="s">
        <v>35</v>
      </c>
      <c r="C13" s="4" t="s">
        <v>74</v>
      </c>
      <c r="D13" s="4" t="s">
        <v>144</v>
      </c>
      <c r="E13" s="4" t="s">
        <v>1005</v>
      </c>
      <c r="F13" s="4" t="s">
        <v>1006</v>
      </c>
      <c r="G13" s="4" t="s">
        <v>1007</v>
      </c>
    </row>
    <row r="14" ht="127.5" customHeight="1">
      <c r="A14" s="2">
        <v>13</v>
      </c>
      <c r="B14" s="3" t="s">
        <v>37</v>
      </c>
      <c r="C14" s="4" t="s">
        <v>57</v>
      </c>
      <c r="D14" s="4" t="s">
        <v>149</v>
      </c>
      <c r="E14" s="4" t="s">
        <v>1008</v>
      </c>
      <c r="F14" s="4" t="s">
        <v>1009</v>
      </c>
      <c r="G14" s="4" t="s">
        <v>1010</v>
      </c>
    </row>
    <row r="15" ht="87" customHeight="1">
      <c r="A15" s="2">
        <v>14</v>
      </c>
      <c r="B15" s="3" t="s">
        <v>37</v>
      </c>
      <c r="C15" s="4" t="s">
        <v>60</v>
      </c>
      <c r="D15" s="4" t="s">
        <v>151</v>
      </c>
      <c r="E15" s="4" t="s">
        <v>1011</v>
      </c>
      <c r="F15" s="4" t="s">
        <v>1012</v>
      </c>
      <c r="G15" s="4" t="s">
        <v>1013</v>
      </c>
    </row>
    <row r="16" ht="100.5" customHeight="1">
      <c r="A16" s="2">
        <v>15</v>
      </c>
      <c r="B16" s="3" t="s">
        <v>37</v>
      </c>
      <c r="C16" s="4" t="s">
        <v>63</v>
      </c>
      <c r="D16" s="4" t="s">
        <v>157</v>
      </c>
      <c r="E16" s="4" t="s">
        <v>1014</v>
      </c>
      <c r="F16" s="4" t="s">
        <v>1015</v>
      </c>
      <c r="G16" s="4" t="s">
        <v>1016</v>
      </c>
    </row>
    <row r="17" ht="87" customHeight="1">
      <c r="A17" s="2">
        <v>16</v>
      </c>
      <c r="B17" s="3" t="s">
        <v>37</v>
      </c>
      <c r="C17" s="4" t="s">
        <v>57</v>
      </c>
      <c r="D17" s="4" t="s">
        <v>162</v>
      </c>
      <c r="E17" s="4" t="s">
        <v>1017</v>
      </c>
      <c r="F17" s="4" t="s">
        <v>1018</v>
      </c>
      <c r="G17" s="4" t="s">
        <v>1019</v>
      </c>
    </row>
    <row r="18" ht="127.5" customHeight="1">
      <c r="A18" s="2">
        <v>17</v>
      </c>
      <c r="B18" s="3" t="s">
        <v>37</v>
      </c>
      <c r="C18" s="4" t="s">
        <v>62</v>
      </c>
      <c r="D18" s="4" t="s">
        <v>167</v>
      </c>
      <c r="E18" s="4" t="s">
        <v>1020</v>
      </c>
      <c r="F18" s="4" t="s">
        <v>1021</v>
      </c>
      <c r="G18" s="4" t="s">
        <v>1022</v>
      </c>
    </row>
    <row r="19" ht="100.5" customHeight="1">
      <c r="A19" s="2">
        <v>18</v>
      </c>
      <c r="B19" s="3" t="s">
        <v>37</v>
      </c>
      <c r="C19" s="4" t="s">
        <v>52</v>
      </c>
      <c r="D19" s="4" t="s">
        <v>173</v>
      </c>
      <c r="E19" s="4" t="s">
        <v>1023</v>
      </c>
      <c r="F19" s="4" t="s">
        <v>1024</v>
      </c>
      <c r="G19" s="4" t="s">
        <v>1025</v>
      </c>
    </row>
    <row r="20" ht="87" customHeight="1">
      <c r="A20" s="2">
        <v>19</v>
      </c>
      <c r="B20" s="3" t="s">
        <v>37</v>
      </c>
      <c r="C20" s="4" t="s">
        <v>58</v>
      </c>
      <c r="D20" s="4" t="s">
        <v>175</v>
      </c>
      <c r="E20" s="4" t="s">
        <v>1026</v>
      </c>
      <c r="F20" s="4" t="s">
        <v>1027</v>
      </c>
      <c r="G20" s="4" t="s">
        <v>1028</v>
      </c>
    </row>
    <row r="21" ht="87" customHeight="1">
      <c r="A21" s="2">
        <v>20</v>
      </c>
      <c r="B21" s="3" t="s">
        <v>37</v>
      </c>
      <c r="C21" s="4" t="s">
        <v>56</v>
      </c>
      <c r="D21" s="4" t="s">
        <v>180</v>
      </c>
      <c r="E21" s="4" t="s">
        <v>1029</v>
      </c>
      <c r="F21" s="4" t="s">
        <v>1030</v>
      </c>
      <c r="G21" s="4" t="s">
        <v>1031</v>
      </c>
    </row>
    <row r="22" ht="114" customHeight="1">
      <c r="A22" s="2">
        <v>21</v>
      </c>
      <c r="B22" s="3" t="s">
        <v>37</v>
      </c>
      <c r="C22" s="4" t="s">
        <v>56</v>
      </c>
      <c r="D22" s="4" t="s">
        <v>184</v>
      </c>
      <c r="E22" s="4" t="s">
        <v>1032</v>
      </c>
      <c r="F22" s="4" t="s">
        <v>1033</v>
      </c>
      <c r="G22" s="4" t="s">
        <v>1034</v>
      </c>
    </row>
    <row r="23" ht="100.5" customHeight="1">
      <c r="A23" s="2">
        <v>22</v>
      </c>
      <c r="B23" s="3" t="s">
        <v>37</v>
      </c>
      <c r="C23" s="4" t="s">
        <v>71</v>
      </c>
      <c r="D23" s="4" t="s">
        <v>188</v>
      </c>
      <c r="E23" s="4" t="s">
        <v>1035</v>
      </c>
      <c r="F23" s="4" t="s">
        <v>1036</v>
      </c>
      <c r="G23" s="4" t="s">
        <v>1037</v>
      </c>
    </row>
    <row r="24" ht="127.5" customHeight="1">
      <c r="A24" s="2">
        <v>23</v>
      </c>
      <c r="B24" s="3" t="s">
        <v>37</v>
      </c>
      <c r="C24" s="4" t="s">
        <v>51</v>
      </c>
      <c r="D24" s="4" t="s">
        <v>194</v>
      </c>
      <c r="E24" s="4" t="s">
        <v>1038</v>
      </c>
      <c r="F24" s="4" t="s">
        <v>1039</v>
      </c>
      <c r="G24" s="4" t="s">
        <v>1040</v>
      </c>
    </row>
    <row r="25" ht="73.5" customHeight="1">
      <c r="A25" s="2">
        <v>24</v>
      </c>
      <c r="B25" s="3" t="s">
        <v>37</v>
      </c>
      <c r="C25" s="4" t="s">
        <v>59</v>
      </c>
      <c r="D25" s="4" t="s">
        <v>196</v>
      </c>
      <c r="E25" s="4" t="s">
        <v>1041</v>
      </c>
      <c r="F25" s="4" t="s">
        <v>1042</v>
      </c>
      <c r="G25" s="4" t="s">
        <v>1043</v>
      </c>
    </row>
    <row r="26" ht="87" customHeight="1">
      <c r="A26" s="2">
        <v>25</v>
      </c>
      <c r="B26" s="3" t="s">
        <v>37</v>
      </c>
      <c r="C26" s="4" t="s">
        <v>54</v>
      </c>
      <c r="D26" s="4" t="s">
        <v>203</v>
      </c>
      <c r="E26" s="4" t="s">
        <v>1044</v>
      </c>
      <c r="F26" s="4" t="s">
        <v>1045</v>
      </c>
      <c r="G26" s="4" t="s">
        <v>1046</v>
      </c>
    </row>
    <row r="27" ht="114" customHeight="1">
      <c r="A27" s="2">
        <v>26</v>
      </c>
      <c r="B27" s="3" t="s">
        <v>37</v>
      </c>
      <c r="C27" s="4" t="s">
        <v>73</v>
      </c>
      <c r="D27" s="4" t="s">
        <v>207</v>
      </c>
      <c r="E27" s="4" t="s">
        <v>1047</v>
      </c>
      <c r="F27" s="4" t="s">
        <v>1048</v>
      </c>
      <c r="G27" s="4" t="s">
        <v>1049</v>
      </c>
    </row>
    <row r="28" ht="127.5" customHeight="1">
      <c r="A28" s="2">
        <v>27</v>
      </c>
      <c r="B28" s="3" t="s">
        <v>39</v>
      </c>
      <c r="C28" s="4" t="s">
        <v>58</v>
      </c>
      <c r="D28" s="4" t="s">
        <v>211</v>
      </c>
      <c r="E28" s="4" t="s">
        <v>1050</v>
      </c>
      <c r="F28" s="4" t="s">
        <v>1051</v>
      </c>
      <c r="G28" s="4" t="s">
        <v>1052</v>
      </c>
    </row>
    <row r="29" ht="87" customHeight="1">
      <c r="A29" s="2">
        <v>28</v>
      </c>
      <c r="B29" s="3" t="s">
        <v>39</v>
      </c>
      <c r="C29" s="4" t="s">
        <v>52</v>
      </c>
      <c r="D29" s="4" t="s">
        <v>217</v>
      </c>
      <c r="E29" s="4" t="s">
        <v>1053</v>
      </c>
      <c r="F29" s="4" t="s">
        <v>1054</v>
      </c>
      <c r="G29" s="4" t="s">
        <v>1055</v>
      </c>
    </row>
    <row r="30" ht="87" customHeight="1">
      <c r="A30" s="2">
        <v>29</v>
      </c>
      <c r="B30" s="3" t="s">
        <v>39</v>
      </c>
      <c r="C30" s="4" t="s">
        <v>52</v>
      </c>
      <c r="D30" s="4" t="s">
        <v>220</v>
      </c>
      <c r="E30" s="4" t="s">
        <v>1056</v>
      </c>
      <c r="F30" s="4" t="s">
        <v>1057</v>
      </c>
      <c r="G30" s="4" t="s">
        <v>1058</v>
      </c>
    </row>
    <row r="31" ht="114" customHeight="1">
      <c r="A31" s="2">
        <v>30</v>
      </c>
      <c r="B31" s="3" t="s">
        <v>39</v>
      </c>
      <c r="C31" s="4" t="s">
        <v>71</v>
      </c>
      <c r="D31" s="4" t="s">
        <v>226</v>
      </c>
      <c r="E31" s="4" t="s">
        <v>1059</v>
      </c>
      <c r="F31" s="4" t="s">
        <v>1060</v>
      </c>
      <c r="G31" s="4" t="s">
        <v>1061</v>
      </c>
    </row>
    <row r="32" ht="114" customHeight="1">
      <c r="A32" s="2">
        <v>31</v>
      </c>
      <c r="B32" s="3" t="s">
        <v>39</v>
      </c>
      <c r="C32" s="4" t="s">
        <v>71</v>
      </c>
      <c r="D32" s="4" t="s">
        <v>230</v>
      </c>
      <c r="E32" s="4" t="s">
        <v>1062</v>
      </c>
      <c r="F32" s="4" t="s">
        <v>1063</v>
      </c>
      <c r="G32" s="4" t="s">
        <v>1064</v>
      </c>
    </row>
    <row r="33" ht="87" customHeight="1">
      <c r="A33" s="2">
        <v>32</v>
      </c>
      <c r="B33" s="3" t="s">
        <v>39</v>
      </c>
      <c r="C33" s="4" t="s">
        <v>53</v>
      </c>
      <c r="D33" s="4" t="s">
        <v>235</v>
      </c>
      <c r="E33" s="4" t="s">
        <v>1065</v>
      </c>
      <c r="F33" s="4" t="s">
        <v>1066</v>
      </c>
      <c r="G33" s="4" t="s">
        <v>1067</v>
      </c>
    </row>
    <row r="34" ht="141" customHeight="1">
      <c r="A34" s="2">
        <v>33</v>
      </c>
      <c r="B34" s="3" t="s">
        <v>39</v>
      </c>
      <c r="C34" s="4" t="s">
        <v>53</v>
      </c>
      <c r="D34" s="4" t="s">
        <v>240</v>
      </c>
      <c r="E34" s="4" t="s">
        <v>1068</v>
      </c>
      <c r="F34" s="4" t="s">
        <v>1069</v>
      </c>
      <c r="G34" s="4" t="s">
        <v>1070</v>
      </c>
    </row>
    <row r="35" ht="100.5" customHeight="1">
      <c r="A35" s="2">
        <v>34</v>
      </c>
      <c r="B35" s="3" t="s">
        <v>39</v>
      </c>
      <c r="C35" s="4" t="s">
        <v>69</v>
      </c>
      <c r="D35" s="4" t="s">
        <v>242</v>
      </c>
      <c r="E35" s="4" t="s">
        <v>1071</v>
      </c>
      <c r="F35" s="4" t="s">
        <v>1072</v>
      </c>
      <c r="G35" s="4" t="s">
        <v>1073</v>
      </c>
    </row>
    <row r="36" ht="114" customHeight="1">
      <c r="A36" s="2">
        <v>35</v>
      </c>
      <c r="B36" s="3" t="s">
        <v>39</v>
      </c>
      <c r="C36" s="4" t="s">
        <v>69</v>
      </c>
      <c r="D36" s="4" t="s">
        <v>249</v>
      </c>
      <c r="E36" s="4" t="s">
        <v>1074</v>
      </c>
      <c r="F36" s="4" t="s">
        <v>1075</v>
      </c>
      <c r="G36" s="4" t="s">
        <v>1076</v>
      </c>
    </row>
    <row r="37" ht="127.5" customHeight="1">
      <c r="A37" s="2">
        <v>36</v>
      </c>
      <c r="B37" s="3" t="s">
        <v>39</v>
      </c>
      <c r="C37" s="4" t="s">
        <v>66</v>
      </c>
      <c r="D37" s="4" t="s">
        <v>253</v>
      </c>
      <c r="E37" s="4" t="s">
        <v>1077</v>
      </c>
      <c r="F37" s="4" t="s">
        <v>1078</v>
      </c>
      <c r="G37" s="4" t="s">
        <v>1079</v>
      </c>
    </row>
    <row r="38" ht="100.5" customHeight="1">
      <c r="A38" s="2">
        <v>37</v>
      </c>
      <c r="B38" s="3" t="s">
        <v>39</v>
      </c>
      <c r="C38" s="4" t="s">
        <v>68</v>
      </c>
      <c r="D38" s="4" t="s">
        <v>257</v>
      </c>
      <c r="E38" s="4" t="s">
        <v>1080</v>
      </c>
      <c r="F38" s="4" t="s">
        <v>1081</v>
      </c>
      <c r="G38" s="4" t="s">
        <v>1082</v>
      </c>
    </row>
    <row r="39" ht="141" customHeight="1">
      <c r="A39" s="2">
        <v>38</v>
      </c>
      <c r="B39" s="3" t="s">
        <v>39</v>
      </c>
      <c r="C39" s="4" t="s">
        <v>54</v>
      </c>
      <c r="D39" s="4" t="s">
        <v>263</v>
      </c>
      <c r="E39" s="4" t="s">
        <v>1083</v>
      </c>
      <c r="F39" s="4" t="s">
        <v>1084</v>
      </c>
      <c r="G39" s="4" t="s">
        <v>1085</v>
      </c>
    </row>
    <row r="40" ht="100.5" customHeight="1">
      <c r="A40" s="2">
        <v>39</v>
      </c>
      <c r="B40" s="3" t="s">
        <v>39</v>
      </c>
      <c r="C40" s="4" t="s">
        <v>61</v>
      </c>
      <c r="D40" s="4" t="s">
        <v>265</v>
      </c>
      <c r="E40" s="4" t="s">
        <v>1086</v>
      </c>
      <c r="F40" s="4" t="s">
        <v>1087</v>
      </c>
      <c r="G40" s="4" t="s">
        <v>1088</v>
      </c>
    </row>
    <row r="41" ht="127.5" customHeight="1">
      <c r="A41" s="2">
        <v>40</v>
      </c>
      <c r="B41" s="3" t="s">
        <v>41</v>
      </c>
      <c r="C41" s="4" t="s">
        <v>68</v>
      </c>
      <c r="D41" s="4" t="s">
        <v>271</v>
      </c>
      <c r="E41" s="4" t="s">
        <v>1089</v>
      </c>
      <c r="F41" s="4" t="s">
        <v>1090</v>
      </c>
      <c r="G41" s="4" t="s">
        <v>1091</v>
      </c>
    </row>
    <row r="42" ht="127.5" customHeight="1">
      <c r="A42" s="2">
        <v>41</v>
      </c>
      <c r="B42" s="3" t="s">
        <v>41</v>
      </c>
      <c r="C42" s="4" t="s">
        <v>55</v>
      </c>
      <c r="D42" s="4" t="s">
        <v>275</v>
      </c>
      <c r="E42" s="4" t="s">
        <v>1092</v>
      </c>
      <c r="F42" s="4" t="s">
        <v>1093</v>
      </c>
      <c r="G42" s="4" t="s">
        <v>1094</v>
      </c>
    </row>
    <row r="43" ht="114" customHeight="1">
      <c r="A43" s="2">
        <v>42</v>
      </c>
      <c r="B43" s="3" t="s">
        <v>41</v>
      </c>
      <c r="C43" s="4" t="s">
        <v>55</v>
      </c>
      <c r="D43" s="4" t="s">
        <v>279</v>
      </c>
      <c r="E43" s="4" t="s">
        <v>1095</v>
      </c>
      <c r="F43" s="4" t="s">
        <v>1096</v>
      </c>
      <c r="G43" s="4" t="s">
        <v>1097</v>
      </c>
    </row>
    <row r="44" ht="141" customHeight="1">
      <c r="A44" s="2">
        <v>43</v>
      </c>
      <c r="B44" s="3" t="s">
        <v>41</v>
      </c>
      <c r="C44" s="4" t="s">
        <v>55</v>
      </c>
      <c r="D44" s="4" t="s">
        <v>284</v>
      </c>
      <c r="E44" s="4" t="s">
        <v>1098</v>
      </c>
      <c r="F44" s="4" t="s">
        <v>1099</v>
      </c>
      <c r="G44" s="4" t="s">
        <v>1100</v>
      </c>
    </row>
    <row r="45" ht="127.5" customHeight="1">
      <c r="A45" s="2">
        <v>44</v>
      </c>
      <c r="B45" s="3" t="s">
        <v>41</v>
      </c>
      <c r="C45" s="4" t="s">
        <v>72</v>
      </c>
      <c r="D45" s="4" t="s">
        <v>286</v>
      </c>
      <c r="E45" s="4" t="s">
        <v>1101</v>
      </c>
      <c r="F45" s="4" t="s">
        <v>1102</v>
      </c>
      <c r="G45" s="4" t="s">
        <v>1103</v>
      </c>
    </row>
    <row r="46" ht="87" customHeight="1">
      <c r="A46" s="2">
        <v>45</v>
      </c>
      <c r="B46" s="3" t="s">
        <v>41</v>
      </c>
      <c r="C46" s="4" t="s">
        <v>73</v>
      </c>
      <c r="D46" s="4" t="s">
        <v>292</v>
      </c>
      <c r="E46" s="4" t="s">
        <v>1104</v>
      </c>
      <c r="F46" s="4" t="s">
        <v>1105</v>
      </c>
      <c r="G46" s="4" t="s">
        <v>1106</v>
      </c>
    </row>
    <row r="47" ht="127.5" customHeight="1">
      <c r="A47" s="2">
        <v>46</v>
      </c>
      <c r="B47" s="3" t="s">
        <v>41</v>
      </c>
      <c r="C47" s="4" t="s">
        <v>68</v>
      </c>
      <c r="D47" s="4" t="s">
        <v>296</v>
      </c>
      <c r="E47" s="4" t="s">
        <v>1107</v>
      </c>
      <c r="F47" s="4" t="s">
        <v>1108</v>
      </c>
      <c r="G47" s="4" t="s">
        <v>1109</v>
      </c>
    </row>
    <row r="48" ht="141" customHeight="1">
      <c r="A48" s="2">
        <v>47</v>
      </c>
      <c r="B48" s="3" t="s">
        <v>41</v>
      </c>
      <c r="C48" s="4" t="s">
        <v>70</v>
      </c>
      <c r="D48" s="4" t="s">
        <v>300</v>
      </c>
      <c r="E48" s="4" t="s">
        <v>1110</v>
      </c>
      <c r="F48" s="4" t="s">
        <v>1111</v>
      </c>
      <c r="G48" s="4" t="s">
        <v>1112</v>
      </c>
    </row>
    <row r="49" ht="114" customHeight="1">
      <c r="A49" s="2">
        <v>48</v>
      </c>
      <c r="B49" s="3" t="s">
        <v>41</v>
      </c>
      <c r="C49" s="4" t="s">
        <v>49</v>
      </c>
      <c r="D49" s="4" t="s">
        <v>306</v>
      </c>
      <c r="E49" s="4" t="s">
        <v>1113</v>
      </c>
      <c r="F49" s="4" t="s">
        <v>1114</v>
      </c>
      <c r="G49" s="4" t="s">
        <v>1115</v>
      </c>
    </row>
    <row r="50" ht="141" customHeight="1">
      <c r="A50" s="2">
        <v>49</v>
      </c>
      <c r="B50" s="3" t="s">
        <v>41</v>
      </c>
      <c r="C50" s="4" t="s">
        <v>67</v>
      </c>
      <c r="D50" s="4" t="s">
        <v>308</v>
      </c>
      <c r="E50" s="4" t="s">
        <v>1116</v>
      </c>
      <c r="F50" s="4" t="s">
        <v>1117</v>
      </c>
      <c r="G50" s="4" t="s">
        <v>1118</v>
      </c>
    </row>
    <row r="51" ht="127.5" customHeight="1">
      <c r="A51" s="2">
        <v>50</v>
      </c>
      <c r="B51" s="3" t="s">
        <v>41</v>
      </c>
      <c r="C51" s="4" t="s">
        <v>64</v>
      </c>
      <c r="D51" s="4" t="s">
        <v>314</v>
      </c>
      <c r="E51" s="4" t="s">
        <v>1119</v>
      </c>
      <c r="F51" s="4" t="s">
        <v>1120</v>
      </c>
      <c r="G51" s="4" t="s">
        <v>1121</v>
      </c>
    </row>
  </sheetData>
  <autoFilter ref="A1:G51"/>
  <pageMargins left="0.5" right="0.5" top="0.6" bottom="0.6" header="0.3" footer="0.3"/>
  <pageSetup paperSize="9" orientation="landscape" fitToHeight="0"/>
</worksheet>
</file>

<file path=xl/worksheets/sheet6.xml><?xml version="1.0" encoding="utf-8"?>
<worksheet xmlns="http://schemas.openxmlformats.org/spreadsheetml/2006/main" xmlns:r="http://schemas.openxmlformats.org/officeDocument/2006/relationships">
  <sheetPr>
    <tabColor rgb="FF7F7F7F"/>
    <pageSetUpPr fitToPage="1"/>
  </sheetPr>
  <dimension ref="A1:B24"/>
  <sheetViews>
    <sheetView workbookViewId="0"/>
  </sheetViews>
  <sheetFormatPr defaultRowHeight="15"/>
  <cols>
    <col min="1" max="1" width="34.71" customWidth="1"/>
    <col min="2" max="2" width="120.71" customWidth="1"/>
  </cols>
  <sheetData>
    <row r="1" ht="30" customHeight="1">
      <c r="A1" s="9" t="s">
        <v>1122</v>
      </c>
      <c r="B1" s="9"/>
    </row>
    <row r="3" ht="33" customHeight="1">
      <c r="A3" s="25" t="s">
        <v>1123</v>
      </c>
      <c r="B3" s="4" t="s">
        <v>1124</v>
      </c>
    </row>
    <row r="4" ht="33" customHeight="1">
      <c r="A4" s="25" t="s">
        <v>20</v>
      </c>
      <c r="B4" s="4" t="s">
        <v>1125</v>
      </c>
    </row>
    <row r="5" ht="33" customHeight="1">
      <c r="A5" s="25" t="s">
        <v>1126</v>
      </c>
      <c r="B5" s="4" t="s">
        <v>1127</v>
      </c>
    </row>
    <row r="6" ht="33" customHeight="1">
      <c r="A6" s="25" t="s">
        <v>1128</v>
      </c>
      <c r="B6" s="4" t="s">
        <v>1129</v>
      </c>
    </row>
    <row r="7" ht="33" customHeight="1">
      <c r="A7" s="25" t="s">
        <v>1130</v>
      </c>
      <c r="B7" s="4" t="s">
        <v>1131</v>
      </c>
    </row>
    <row r="8" ht="33" customHeight="1">
      <c r="A8" s="25" t="s">
        <v>1132</v>
      </c>
      <c r="B8" s="4" t="s">
        <v>1133</v>
      </c>
    </row>
    <row r="9" ht="33" customHeight="1">
      <c r="A9" s="25" t="s">
        <v>1134</v>
      </c>
      <c r="B9" s="4" t="s">
        <v>1135</v>
      </c>
    </row>
    <row r="10" ht="33" customHeight="1">
      <c r="A10" s="25" t="s">
        <v>1136</v>
      </c>
      <c r="B10" s="4" t="s">
        <v>1137</v>
      </c>
    </row>
    <row r="11" ht="33" customHeight="1">
      <c r="A11" s="25" t="s">
        <v>326</v>
      </c>
      <c r="B11" s="4" t="s">
        <v>1138</v>
      </c>
    </row>
    <row r="12" ht="33" customHeight="1">
      <c r="A12" s="25" t="s">
        <v>1139</v>
      </c>
      <c r="B12" s="4" t="s">
        <v>1140</v>
      </c>
    </row>
    <row r="14" ht="22" customHeight="1">
      <c r="A14" s="16" t="s">
        <v>1141</v>
      </c>
      <c r="B14" s="16"/>
    </row>
    <row r="15">
      <c r="A15" s="11" t="s">
        <v>35</v>
      </c>
      <c r="B15" s="4" t="s">
        <v>1142</v>
      </c>
    </row>
    <row r="16">
      <c r="A16" s="11" t="s">
        <v>37</v>
      </c>
      <c r="B16" s="4" t="s">
        <v>1143</v>
      </c>
    </row>
    <row r="17">
      <c r="A17" s="11" t="s">
        <v>39</v>
      </c>
      <c r="B17" s="4" t="s">
        <v>1144</v>
      </c>
    </row>
    <row r="18">
      <c r="A18" s="11" t="s">
        <v>41</v>
      </c>
      <c r="B18" s="4" t="s">
        <v>1145</v>
      </c>
    </row>
    <row r="20" ht="22" customHeight="1">
      <c r="A20" s="16" t="s">
        <v>1146</v>
      </c>
      <c r="B20" s="16"/>
    </row>
    <row r="21">
      <c r="A21" s="25" t="s">
        <v>1147</v>
      </c>
      <c r="B21" s="4" t="s">
        <v>1148</v>
      </c>
    </row>
    <row r="22">
      <c r="A22" s="25" t="s">
        <v>1149</v>
      </c>
      <c r="B22" s="4" t="s">
        <v>1150</v>
      </c>
    </row>
    <row r="23">
      <c r="A23" s="25" t="s">
        <v>1151</v>
      </c>
      <c r="B23" s="4" t="s">
        <v>1152</v>
      </c>
    </row>
    <row r="24">
      <c r="A24" s="25" t="s">
        <v>1153</v>
      </c>
      <c r="B24" s="4" t="s">
        <v>1154</v>
      </c>
    </row>
  </sheetData>
  <mergeCells count="3">
    <mergeCell ref="A1:B1"/>
    <mergeCell ref="A14:B14"/>
    <mergeCell ref="A20:B20"/>
  </mergeCells>
  <pageMargins left="0.5" right="0.5" top="0.6" bottom="0.6" header="0.3" footer="0.3"/>
  <pageSetup paperSize="9"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Сводка</vt:lpstr>
      <vt:lpstr>Вопросы</vt:lpstr>
      <vt:lpstr>Диалог</vt:lpstr>
      <vt:lpstr>Понятия</vt:lpstr>
      <vt:lpstr>Эталоны</vt:lpstr>
      <vt:lpstr>Методика</vt:lpstr>
    </vt:vector>
  </TitlesOfParts>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Отчёт по собеседованию</dc:title>
  <dc:creator>Интервью Java Backend</dc:creator>
  <dcterms:created xsi:type="dcterms:W3CDTF">2026-10-15T04:55:48Z</dcterms:created>
  <dcterms:modified xsi:type="dcterms:W3CDTF">2026-10-15T04:55:48Z</dcterms:modified>
</cp:coreProperties>
</file>